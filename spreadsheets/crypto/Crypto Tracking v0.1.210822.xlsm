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jsdd-my.sharepoint.com/personal/matt_jones_tjsdd_com1/Documents/Documents/Personal/Excel/Investments/Reddit Shared Uploads/"/>
    </mc:Choice>
  </mc:AlternateContent>
  <xr:revisionPtr revIDLastSave="507" documentId="8_{B44C3157-8137-4BDF-B807-8453822BC337}" xr6:coauthVersionLast="47" xr6:coauthVersionMax="47" xr10:uidLastSave="{B557BD04-51AC-4FA9-B562-E845CF7095C9}"/>
  <bookViews>
    <workbookView xWindow="28680" yWindow="-120" windowWidth="29040" windowHeight="17640" activeTab="4" xr2:uid="{00000000-000D-0000-FFFF-FFFF00000000}"/>
  </bookViews>
  <sheets>
    <sheet name="Asset Summary" sheetId="12" r:id="rId1"/>
    <sheet name="Annual Tax Summary" sheetId="13" r:id="rId2"/>
    <sheet name="Transactions" sheetId="1" r:id="rId3"/>
    <sheet name="Quotes" sheetId="11" r:id="rId4"/>
    <sheet name="Config" sheetId="9" r:id="rId5"/>
  </sheets>
  <definedNames>
    <definedName name="_xlcn.tblQuotes1" hidden="1">tblQuotes[]</definedName>
    <definedName name="_xlcn.tblTransactions1" hidden="1">tblTransactions[]</definedName>
    <definedName name="API_KEY">Config!$C$2</definedName>
    <definedName name="API_URL">Config!$C$4</definedName>
    <definedName name="ExternalData_1" localSheetId="3" hidden="1">Quotes!$B$5:$D$9</definedName>
    <definedName name="lblTransactionTypes">tblTransactionTypes[Transaction Type]</definedName>
    <definedName name="QUOTE_TIME">Quotes!$D$3</definedName>
    <definedName name="TICKERS">Config!$C$3</definedName>
  </definedNames>
  <calcPr calcId="191029"/>
  <pivotCaches>
    <pivotCache cacheId="59" r:id="rId6"/>
    <pivotCache cacheId="62" r:id="rId7"/>
  </pivotCaches>
  <extLst>
    <ext xmlns:x15="http://schemas.microsoft.com/office/spreadsheetml/2010/11/main" uri="{FCE2AD5D-F65C-4FA6-A056-5C36A1767C68}">
      <x15:dataModel>
        <x15:modelTables>
          <x15:modelTable id="tblTransactions" name="tblTransactions" connection="tblTransactions"/>
          <x15:modelTable id="tblQuotes" name="tblQuotes" connection="tblQuotes"/>
        </x15:modelTables>
        <x15:modelRelationships>
          <x15:modelRelationship fromTable="tblTransactions" fromColumn="Asset" toTable="tblQuotes" toColumn="Nam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lTransactions" columnName="Date" columnId="Date">
                <x16:calculatedTimeColumn columnName="Date (Year)" columnId="Date (Year)" contentType="year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" l="1"/>
  <c r="J16" i="1"/>
  <c r="L16" i="1"/>
  <c r="O16" i="1"/>
  <c r="R16" i="1"/>
  <c r="S16" i="1" s="1"/>
  <c r="H15" i="1"/>
  <c r="J15" i="1"/>
  <c r="L15" i="1"/>
  <c r="M15" i="1"/>
  <c r="N15" i="1"/>
  <c r="O15" i="1"/>
  <c r="R15" i="1"/>
  <c r="S15" i="1" s="1"/>
  <c r="H14" i="1"/>
  <c r="J14" i="1"/>
  <c r="L14" i="1"/>
  <c r="M14" i="1"/>
  <c r="N14" i="1"/>
  <c r="O14" i="1"/>
  <c r="R14" i="1"/>
  <c r="S14" i="1" s="1"/>
  <c r="V14" i="1"/>
  <c r="H13" i="1"/>
  <c r="J13" i="1"/>
  <c r="L13" i="1"/>
  <c r="M13" i="1"/>
  <c r="N13" i="1"/>
  <c r="O13" i="1"/>
  <c r="R13" i="1"/>
  <c r="S13" i="1" s="1"/>
  <c r="H12" i="1"/>
  <c r="J12" i="1"/>
  <c r="L12" i="1"/>
  <c r="O12" i="1"/>
  <c r="R12" i="1"/>
  <c r="S12" i="1" s="1"/>
  <c r="H11" i="1"/>
  <c r="J11" i="1"/>
  <c r="L11" i="1"/>
  <c r="O11" i="1"/>
  <c r="R11" i="1"/>
  <c r="S11" i="1" s="1"/>
  <c r="H10" i="1"/>
  <c r="J10" i="1"/>
  <c r="L10" i="1"/>
  <c r="O10" i="1"/>
  <c r="R10" i="1"/>
  <c r="S10" i="1" s="1"/>
  <c r="H9" i="1"/>
  <c r="J9" i="1"/>
  <c r="L9" i="1"/>
  <c r="O9" i="1"/>
  <c r="R9" i="1"/>
  <c r="S9" i="1" s="1"/>
  <c r="H8" i="1"/>
  <c r="J8" i="1"/>
  <c r="L8" i="1"/>
  <c r="O8" i="1"/>
  <c r="R8" i="1"/>
  <c r="S8" i="1" s="1"/>
  <c r="H7" i="1"/>
  <c r="J7" i="1"/>
  <c r="L7" i="1"/>
  <c r="O7" i="1"/>
  <c r="R7" i="1"/>
  <c r="S7" i="1" s="1"/>
  <c r="H6" i="1"/>
  <c r="J6" i="1"/>
  <c r="L6" i="1"/>
  <c r="O6" i="1"/>
  <c r="R6" i="1"/>
  <c r="S6" i="1" s="1"/>
  <c r="H5" i="1"/>
  <c r="J5" i="1"/>
  <c r="L5" i="1"/>
  <c r="O5" i="1"/>
  <c r="R5" i="1"/>
  <c r="S5" i="1" s="1"/>
  <c r="H4" i="1"/>
  <c r="J4" i="1"/>
  <c r="L4" i="1"/>
  <c r="O4" i="1"/>
  <c r="R4" i="1"/>
  <c r="S4" i="1" s="1"/>
  <c r="M18" i="12"/>
  <c r="L18" i="12"/>
  <c r="K18" i="12"/>
  <c r="J18" i="12"/>
  <c r="H18" i="12"/>
  <c r="G18" i="12"/>
  <c r="F18" i="12"/>
  <c r="R3" i="1"/>
  <c r="T3" i="1" s="1"/>
  <c r="C3" i="9"/>
  <c r="C4" i="9" s="1"/>
  <c r="D3" i="11"/>
  <c r="D2" i="11" s="1"/>
  <c r="Q16" i="1" l="1"/>
  <c r="V16" i="1"/>
  <c r="U16" i="1"/>
  <c r="T16" i="1"/>
  <c r="P15" i="1"/>
  <c r="Q15" i="1"/>
  <c r="V15" i="1"/>
  <c r="U15" i="1"/>
  <c r="T15" i="1"/>
  <c r="P14" i="1"/>
  <c r="Q14" i="1"/>
  <c r="U14" i="1"/>
  <c r="T14" i="1"/>
  <c r="Q7" i="1"/>
  <c r="P13" i="1"/>
  <c r="Q13" i="1"/>
  <c r="V13" i="1"/>
  <c r="U13" i="1"/>
  <c r="V12" i="1"/>
  <c r="T13" i="1"/>
  <c r="Q12" i="1"/>
  <c r="U12" i="1"/>
  <c r="T12" i="1"/>
  <c r="Q11" i="1"/>
  <c r="V10" i="1"/>
  <c r="T11" i="1"/>
  <c r="Q10" i="1"/>
  <c r="U10" i="1"/>
  <c r="T10" i="1"/>
  <c r="Q9" i="1"/>
  <c r="V9" i="1"/>
  <c r="U9" i="1"/>
  <c r="V8" i="1"/>
  <c r="T9" i="1"/>
  <c r="Q8" i="1"/>
  <c r="U8" i="1"/>
  <c r="T8" i="1"/>
  <c r="T7" i="1"/>
  <c r="Q6" i="1"/>
  <c r="V5" i="1"/>
  <c r="T6" i="1"/>
  <c r="Q5" i="1"/>
  <c r="U5" i="1"/>
  <c r="T5" i="1"/>
  <c r="Q4" i="1"/>
  <c r="T4" i="1"/>
  <c r="I18" i="12"/>
  <c r="C2" i="13"/>
  <c r="C2" i="12"/>
  <c r="U3" i="1"/>
  <c r="V3" i="1"/>
  <c r="S3" i="1"/>
  <c r="I16" i="1" l="1"/>
  <c r="I15" i="1"/>
  <c r="K15" i="1" s="1"/>
  <c r="I14" i="1"/>
  <c r="K14" i="1" s="1"/>
  <c r="I13" i="1"/>
  <c r="K13" i="1" s="1"/>
  <c r="I12" i="1"/>
  <c r="I10" i="1"/>
  <c r="I9" i="1"/>
  <c r="I8" i="1"/>
  <c r="I5" i="1"/>
  <c r="H3" i="1"/>
  <c r="O3" i="1" l="1"/>
  <c r="N3" i="1"/>
  <c r="M3" i="1"/>
  <c r="L3" i="1"/>
  <c r="J3" i="1"/>
  <c r="Q3" i="1" l="1"/>
  <c r="P3" i="1"/>
  <c r="I3" i="1" l="1"/>
  <c r="M4" i="1" l="1"/>
  <c r="N4" i="1"/>
  <c r="U4" i="1" s="1"/>
  <c r="K3" i="1"/>
  <c r="P4" i="1" l="1"/>
  <c r="V4" i="1" s="1"/>
  <c r="I4" i="1" s="1"/>
  <c r="M6" i="1" l="1"/>
  <c r="N6" i="1"/>
  <c r="U6" i="1" s="1"/>
  <c r="K4" i="1"/>
  <c r="K5" i="1"/>
  <c r="M5" i="1"/>
  <c r="N5" i="1"/>
  <c r="P6" i="1" l="1"/>
  <c r="V6" i="1" s="1"/>
  <c r="I6" i="1" s="1"/>
  <c r="P5" i="1"/>
  <c r="K6" i="1" l="1"/>
  <c r="N7" i="1"/>
  <c r="U7" i="1" s="1"/>
  <c r="M7" i="1"/>
  <c r="P7" i="1" l="1"/>
  <c r="V7" i="1" s="1"/>
  <c r="I7" i="1" s="1"/>
  <c r="M11" i="1" l="1"/>
  <c r="N11" i="1"/>
  <c r="U11" i="1" s="1"/>
  <c r="K10" i="1"/>
  <c r="N10" i="1"/>
  <c r="M10" i="1"/>
  <c r="M9" i="1"/>
  <c r="N9" i="1"/>
  <c r="K9" i="1"/>
  <c r="K7" i="1"/>
  <c r="N8" i="1"/>
  <c r="M8" i="1"/>
  <c r="K8" i="1"/>
  <c r="P11" i="1" l="1"/>
  <c r="V11" i="1" s="1"/>
  <c r="I11" i="1" s="1"/>
  <c r="P10" i="1"/>
  <c r="P9" i="1"/>
  <c r="P8" i="1"/>
  <c r="K16" i="1" l="1"/>
  <c r="M16" i="1"/>
  <c r="N16" i="1"/>
  <c r="K11" i="1"/>
  <c r="N12" i="1"/>
  <c r="K12" i="1"/>
  <c r="M12" i="1"/>
  <c r="P16" i="1" l="1"/>
  <c r="P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7D93B7-8CC5-43B1-89B8-5CCC3DC57479}" keepAlive="1" name="Query - Quotes" description="Connection to the 'Quotes' query in the workbook." type="5" refreshedVersion="7" saveData="1">
    <dbPr connection="Provider=Microsoft.Mashup.OleDb.1;Data Source=$Workbook$;Location=Quotes;Extended Properties=&quot;&quot;" command="SELECT * FROM [Quotes]"/>
  </connection>
  <connection id="2" xr16:uid="{B14884AA-64B9-4D43-96DD-17FB7F23ACE0}" name="tblQuotes" type="102" refreshedVersion="7" minRefreshableVersion="5" saveData="1">
    <extLst>
      <ext xmlns:x15="http://schemas.microsoft.com/office/spreadsheetml/2010/11/main" uri="{DE250136-89BD-433C-8126-D09CA5730AF9}">
        <x15:connection id="tblQuotes">
          <x15:rangePr sourceName="_xlcn.tblQuotes1"/>
        </x15:connection>
      </ext>
    </extLst>
  </connection>
  <connection id="3" xr16:uid="{85BFDB01-93FE-4133-BC20-E849A02F183B}" name="tblTransactions" type="102" refreshedVersion="7" minRefreshableVersion="5" saveData="1">
    <extLst>
      <ext xmlns:x15="http://schemas.microsoft.com/office/spreadsheetml/2010/11/main" uri="{DE250136-89BD-433C-8126-D09CA5730AF9}">
        <x15:connection id="tblTransactions">
          <x15:rangePr sourceName="_xlcn.tblTransactions1"/>
        </x15:connection>
      </ext>
    </extLst>
  </connection>
  <connection id="4" xr16:uid="{7249D86E-1BAC-4483-A27B-B95535D3EC52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<sst xmlns="http://schemas.openxmlformats.org/spreadsheetml/2006/main" count="122" uniqueCount="67">
  <si>
    <t>Asset</t>
  </si>
  <si>
    <t>Buy</t>
  </si>
  <si>
    <t>BTC</t>
  </si>
  <si>
    <t>Receive</t>
  </si>
  <si>
    <t>ETH</t>
  </si>
  <si>
    <t>Quantity</t>
  </si>
  <si>
    <t>Type</t>
  </si>
  <si>
    <t>Date</t>
  </si>
  <si>
    <t>Row Labels</t>
  </si>
  <si>
    <t>UGL</t>
  </si>
  <si>
    <t>UGL %</t>
  </si>
  <si>
    <t>USD</t>
  </si>
  <si>
    <t>Qty</t>
  </si>
  <si>
    <t>ALGO</t>
  </si>
  <si>
    <t>Notes</t>
  </si>
  <si>
    <t>Sell</t>
  </si>
  <si>
    <t>Misc Income</t>
  </si>
  <si>
    <t>USD / Share</t>
  </si>
  <si>
    <t>Basis</t>
  </si>
  <si>
    <t>Cost Basis</t>
  </si>
  <si>
    <t>Nontax Income</t>
  </si>
  <si>
    <t>2021</t>
  </si>
  <si>
    <t>Transfer</t>
  </si>
  <si>
    <t>Coinbase</t>
  </si>
  <si>
    <t>Account</t>
  </si>
  <si>
    <t>Cumulative Basis</t>
  </si>
  <si>
    <t>Prior ST Basis</t>
  </si>
  <si>
    <t>Prior LT Basis</t>
  </si>
  <si>
    <t>Prior Basis</t>
  </si>
  <si>
    <t>Cumulative Shares</t>
  </si>
  <si>
    <t>Prior Qty</t>
  </si>
  <si>
    <t>Prior LT Qty</t>
  </si>
  <si>
    <t>Prior ST Qty</t>
  </si>
  <si>
    <t>Enter sales / outflows as negative</t>
  </si>
  <si>
    <t>Transaction Type</t>
  </si>
  <si>
    <t>Rebate</t>
  </si>
  <si>
    <t>API Key</t>
  </si>
  <si>
    <t>API URL</t>
  </si>
  <si>
    <t>Tickers</t>
  </si>
  <si>
    <t>Name</t>
  </si>
  <si>
    <t>price</t>
  </si>
  <si>
    <t>&lt;-- Insert API Key from CoinMarketCap Here!</t>
  </si>
  <si>
    <t>Mkt Price</t>
  </si>
  <si>
    <t>Unit cost</t>
  </si>
  <si>
    <t>Market Value</t>
  </si>
  <si>
    <t>last_updated</t>
  </si>
  <si>
    <t>Description</t>
  </si>
  <si>
    <t>Tax Treatment</t>
  </si>
  <si>
    <t>Credit card rewards (nontaxable)</t>
  </si>
  <si>
    <t>Wallet to wallet transfer (nontaxable)</t>
  </si>
  <si>
    <t>Airdrops, CoinBase rewards, etc. (taxable)</t>
  </si>
  <si>
    <t>N/A</t>
  </si>
  <si>
    <t>Capital</t>
  </si>
  <si>
    <t>Taxable Income</t>
  </si>
  <si>
    <t>Nontaxable Income</t>
  </si>
  <si>
    <t>NOTE - insert empty rows above total row to accommodate new currencies</t>
  </si>
  <si>
    <t>before refreshing table to prevent total row from getting overwritten!</t>
  </si>
  <si>
    <t>LT Cap Gain</t>
  </si>
  <si>
    <t>ST Cap Gain</t>
  </si>
  <si>
    <t>XRP</t>
  </si>
  <si>
    <t>2001</t>
  </si>
  <si>
    <t>2002</t>
  </si>
  <si>
    <t>2003</t>
  </si>
  <si>
    <t>2004</t>
  </si>
  <si>
    <t>2005</t>
  </si>
  <si>
    <t>2010</t>
  </si>
  <si>
    <t>BlockFi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</si>
</sst>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.000000000000_);_(* \(#,##0.000000000000\);_(* &quot;-&quot;??_);_(@_)"/>
    <numFmt numFmtId="167" formatCode="_(* #,##0.00000000_);_(* \(#,##0.00000000\);_(* &quot;-&quot;????????_);_(@_)"/>
    <numFmt numFmtId="168" formatCode="_(* #,##0.0000_);_(* \(#,##0.0000\);_(* &quot;-&quot;????_);_(@_)"/>
    <numFmt numFmtId="169" formatCode="m/d/yyyy\ h:mm:ss\ AM/PM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43" fontId="0" fillId="0" borderId="0" xfId="1" applyFont="1"/>
    <xf numFmtId="43" fontId="0" fillId="0" borderId="0" xfId="0" applyNumberFormat="1"/>
    <xf numFmtId="14" fontId="0" fillId="0" borderId="0" xfId="0" applyNumberFormat="1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pivotButton="1"/>
    <xf numFmtId="43" fontId="3" fillId="0" borderId="0" xfId="1" applyFont="1"/>
    <xf numFmtId="43" fontId="0" fillId="0" borderId="0" xfId="1" applyNumberFormat="1" applyFont="1"/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 wrapText="1"/>
    </xf>
    <xf numFmtId="10" fontId="0" fillId="0" borderId="0" xfId="0" applyNumberFormat="1"/>
    <xf numFmtId="0" fontId="0" fillId="2" borderId="0" xfId="0" applyFill="1"/>
    <xf numFmtId="0" fontId="0" fillId="0" borderId="0" xfId="0" applyFill="1"/>
    <xf numFmtId="167" fontId="0" fillId="0" borderId="0" xfId="0" applyNumberFormat="1"/>
    <xf numFmtId="168" fontId="0" fillId="0" borderId="0" xfId="0" applyNumberFormat="1"/>
    <xf numFmtId="43" fontId="0" fillId="0" borderId="1" xfId="0" applyNumberFormat="1" applyBorder="1"/>
    <xf numFmtId="10" fontId="0" fillId="0" borderId="1" xfId="0" applyNumberFormat="1" applyFont="1" applyBorder="1"/>
    <xf numFmtId="169" fontId="0" fillId="0" borderId="0" xfId="0" applyNumberFormat="1"/>
    <xf numFmtId="49" fontId="0" fillId="0" borderId="0" xfId="0" applyNumberFormat="1" applyAlignment="1"/>
    <xf numFmtId="0" fontId="0" fillId="3" borderId="0" xfId="0" applyFill="1"/>
    <xf numFmtId="0" fontId="0" fillId="2" borderId="0" xfId="0" applyFill="1" applyAlignment="1">
      <alignment horizontal="center"/>
    </xf>
  </cellXfs>
  <cellStyles count="2">
    <cellStyle name="Comma" xfId="1" builtinId="3"/>
    <cellStyle name="Normal" xfId="0" builtinId="0"/>
  </cellStyles>
  <dxfs count="38">
    <dxf>
      <numFmt numFmtId="169" formatCode="m/d/yyyy\ 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0000000000_);_(* \(#,##0.00000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0000000000_);_(* \(#,##0.00000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0000000000_);_(* \(#,##0.00000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0000000000_);_(* \(#,##0.00000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0000000000_);_(* \(#,##0.00000000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(* #,##0.000000000000_);_(* \(#,##0.000000000000\);_(* &quot;-&quot;??_);_(@_)"/>
    </dxf>
    <dxf>
      <numFmt numFmtId="19" formatCode="m/d/yyyy"/>
    </dxf>
    <dxf>
      <alignment horizontal="center" vertical="bottom" textRotation="0" wrapText="1" indent="0" justifyLastLine="0" shrinkToFit="0" readingOrder="0"/>
    </dxf>
    <dxf>
      <alignment horizontal="center"/>
    </dxf>
    <dxf>
      <alignment horizontal="center"/>
    </dxf>
    <dxf>
      <alignment wrapText="1"/>
    </dxf>
    <dxf>
      <alignment wrapText="1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vertical="bottom"/>
    </dxf>
    <dxf>
      <alignment vertical="bottom"/>
    </dxf>
    <dxf>
      <alignment horizontal="center" wrapText="1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center"/>
    </dxf>
    <dxf>
      <alignment wrapText="1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8" formatCode="_(* #,##0.0000_);_(* \(#,##0.0000\);_(* &quot;-&quot;????_);_(@_)"/>
    </dxf>
    <dxf>
      <numFmt numFmtId="168" formatCode="_(* #,##0.0000_);_(* \(#,##0.0000\);_(* &quot;-&quot;????_);_(@_)"/>
    </dxf>
    <dxf>
      <numFmt numFmtId="167" formatCode="_(* #,##0.00000000_);_(* \(#,##0.00000000\);_(* &quot;-&quot;????????_);_(@_)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19050</xdr:rowOff>
        </xdr:from>
        <xdr:to>
          <xdr:col>1</xdr:col>
          <xdr:colOff>942975</xdr:colOff>
          <xdr:row>2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19050</xdr:rowOff>
        </xdr:from>
        <xdr:to>
          <xdr:col>1</xdr:col>
          <xdr:colOff>981075</xdr:colOff>
          <xdr:row>2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28575</xdr:rowOff>
        </xdr:from>
        <xdr:to>
          <xdr:col>2</xdr:col>
          <xdr:colOff>657225</xdr:colOff>
          <xdr:row>2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thew Jones" refreshedDate="44430.561539467592" backgroundQuery="1" createdVersion="7" refreshedVersion="7" minRefreshableVersion="3" recordCount="0" supportSubquery="1" supportAdvancedDrill="1" xr:uid="{CC78BA11-49BF-4D29-8859-BF6104880746}">
  <cacheSource type="external" connectionId="4"/>
  <cacheFields count="5">
    <cacheField name="[Measures].[Sum of Misc Income]" caption="Sum of Misc Income" numFmtId="0" hierarchy="37" level="32767"/>
    <cacheField name="[Measures].[Sum of Nontax Income]" caption="Sum of Nontax Income" numFmtId="0" hierarchy="38" level="32767"/>
    <cacheField name="[tblTransactions].[Date (Year)].[Date (Year)]" caption="Date (Year)" numFmtId="0" hierarchy="25" level="1">
      <sharedItems count="7">
        <s v="2001"/>
        <s v="2002"/>
        <s v="2003"/>
        <s v="2004"/>
        <s v="2005"/>
        <s v="2010"/>
        <s v="2021"/>
      </sharedItems>
    </cacheField>
    <cacheField name="[Measures].[Sum of LT Cap Gain]" caption="Sum of LT Cap Gain" numFmtId="0" hierarchy="39" level="32767"/>
    <cacheField name="[Measures].[Sum of ST Cap Gain]" caption="Sum of ST Cap Gain" numFmtId="0" hierarchy="40" level="32767"/>
  </cacheFields>
  <cacheHierarchies count="41">
    <cacheHierarchy uniqueName="[tblQuotes].[Name]" caption="Name" attribute="1" defaultMemberUniqueName="[tblQuotes].[Name].[All]" allUniqueName="[tblQuotes].[Name].[All]" dimensionUniqueName="[tblQuotes]" displayFolder="" count="0" memberValueDatatype="130" unbalanced="0"/>
    <cacheHierarchy uniqueName="[tblQuotes].[price]" caption="price" attribute="1" defaultMemberUniqueName="[tblQuotes].[price].[All]" allUniqueName="[tblQuotes].[price].[All]" dimensionUniqueName="[tblQuotes]" displayFolder="" count="0" memberValueDatatype="5" unbalanced="0"/>
    <cacheHierarchy uniqueName="[tblQuotes].[last_updated]" caption="last_updated" attribute="1" time="1" defaultMemberUniqueName="[tblQuotes].[last_updated].[All]" allUniqueName="[tblQuotes].[last_updated].[All]" dimensionUniqueName="[tblQuotes]" displayFolder="" count="0" memberValueDatatype="7" unbalanced="0"/>
    <cacheHierarchy uniqueName="[tblTransactions].[Date]" caption="Date" attribute="1" time="1" defaultMemberUniqueName="[tblTransactions].[Date].[All]" allUniqueName="[tblTransactions].[Date].[All]" dimensionUniqueName="[tblTransactions]" displayFolder="" count="0" memberValueDatatype="7" unbalanced="0"/>
    <cacheHierarchy uniqueName="[tblTransactions].[Type]" caption="Type" attribute="1" defaultMemberUniqueName="[tblTransactions].[Type].[All]" allUniqueName="[tblTransactions].[Type].[All]" dimensionUniqueName="[tblTransactions]" displayFolder="" count="0" memberValueDatatype="130" unbalanced="0"/>
    <cacheHierarchy uniqueName="[tblTransactions].[Account]" caption="Account" attribute="1" defaultMemberUniqueName="[tblTransactions].[Account].[All]" allUniqueName="[tblTransactions].[Account].[All]" dimensionUniqueName="[tblTransactions]" displayFolder="" count="0" memberValueDatatype="130" unbalanced="0"/>
    <cacheHierarchy uniqueName="[tblTransactions].[Asset]" caption="Asset" attribute="1" defaultMemberUniqueName="[tblTransactions].[Asset].[All]" allUniqueName="[tblTransactions].[Asset].[All]" dimensionUniqueName="[tblTransactions]" displayFolder="" count="0" memberValueDatatype="130" unbalanced="0"/>
    <cacheHierarchy uniqueName="[tblTransactions].[Quantity]" caption="Quantity" attribute="1" defaultMemberUniqueName="[tblTransactions].[Quantity].[All]" allUniqueName="[tblTransactions].[Quantity].[All]" dimensionUniqueName="[tblTransactions]" displayFolder="" count="0" memberValueDatatype="5" unbalanced="0"/>
    <cacheHierarchy uniqueName="[tblTransactions].[USD]" caption="USD" attribute="1" defaultMemberUniqueName="[tblTransactions].[USD].[All]" allUniqueName="[tblTransactions].[USD].[All]" dimensionUniqueName="[tblTransactions]" displayFolder="" count="0" memberValueDatatype="20" unbalanced="0"/>
    <cacheHierarchy uniqueName="[tblTransactions].[USD / Share]" caption="USD / Share" attribute="1" defaultMemberUniqueName="[tblTransactions].[USD / Share].[All]" allUniqueName="[tblTransactions].[USD / Share].[All]" dimensionUniqueName="[tblTransactions]" displayFolder="" count="0" memberValueDatatype="5" unbalanced="0"/>
    <cacheHierarchy uniqueName="[tblTransactions].[Basis]" caption="Basis" attribute="1" defaultMemberUniqueName="[tblTransactions].[Basis].[All]" allUniqueName="[tblTransactions].[Basis].[All]" dimensionUniqueName="[tblTransactions]" displayFolder="" count="0" memberValueDatatype="5" unbalanced="0"/>
    <cacheHierarchy uniqueName="[tblTransactions].[Cumulative Shares]" caption="Cumulative Shares" attribute="1" defaultMemberUniqueName="[tblTransactions].[Cumulative Shares].[All]" allUniqueName="[tblTransactions].[Cumulative Shares].[All]" dimensionUniqueName="[tblTransactions]" displayFolder="" count="0" memberValueDatatype="5" unbalanced="0"/>
    <cacheHierarchy uniqueName="[tblTransactions].[Cumulative Basis]" caption="Cumulative Basis" attribute="1" defaultMemberUniqueName="[tblTransactions].[Cumulative Basis].[All]" allUniqueName="[tblTransactions].[Cumulative Basis].[All]" dimensionUniqueName="[tblTransactions]" displayFolder="" count="0" memberValueDatatype="5" unbalanced="0"/>
    <cacheHierarchy uniqueName="[tblTransactions].[Prior Qty]" caption="Prior Qty" attribute="1" defaultMemberUniqueName="[tblTransactions].[Prior Qty].[All]" allUniqueName="[tblTransactions].[Prior Qty].[All]" dimensionUniqueName="[tblTransactions]" displayFolder="" count="0" memberValueDatatype="5" unbalanced="0"/>
    <cacheHierarchy uniqueName="[tblTransactions].[Prior Basis]" caption="Prior Basis" attribute="1" defaultMemberUniqueName="[tblTransactions].[Prior Basis].[All]" allUniqueName="[tblTransactions].[Prior Basis].[All]" dimensionUniqueName="[tblTransactions]" displayFolder="" count="0" memberValueDatatype="5" unbalanced="0"/>
    <cacheHierarchy uniqueName="[tblTransactions].[Prior LT Basis]" caption="Prior LT Basis" attribute="1" defaultMemberUniqueName="[tblTransactions].[Prior LT Basis].[All]" allUniqueName="[tblTransactions].[Prior LT Basis].[All]" dimensionUniqueName="[tblTransactions]" displayFolder="" count="0" memberValueDatatype="5" unbalanced="0"/>
    <cacheHierarchy uniqueName="[tblTransactions].[Prior LT Qty]" caption="Prior LT Qty" attribute="1" defaultMemberUniqueName="[tblTransactions].[Prior LT Qty].[All]" allUniqueName="[tblTransactions].[Prior LT Qty].[All]" dimensionUniqueName="[tblTransactions]" displayFolder="" count="0" memberValueDatatype="5" unbalanced="0"/>
    <cacheHierarchy uniqueName="[tblTransactions].[Prior ST Basis]" caption="Prior ST Basis" attribute="1" defaultMemberUniqueName="[tblTransactions].[Prior ST Basis].[All]" allUniqueName="[tblTransactions].[Prior ST Basis].[All]" dimensionUniqueName="[tblTransactions]" displayFolder="" count="0" memberValueDatatype="20" unbalanced="0"/>
    <cacheHierarchy uniqueName="[tblTransactions].[Prior ST Qty]" caption="Prior ST Qty" attribute="1" defaultMemberUniqueName="[tblTransactions].[Prior ST Qty].[All]" allUniqueName="[tblTransactions].[Prior ST Qty].[All]" dimensionUniqueName="[tblTransactions]" displayFolder="" count="0" memberValueDatatype="20" unbalanced="0"/>
    <cacheHierarchy uniqueName="[tblTransactions].[Tax Treatment]" caption="Tax Treatment" attribute="1" defaultMemberUniqueName="[tblTransactions].[Tax Treatment].[All]" allUniqueName="[tblTransactions].[Tax Treatment].[All]" dimensionUniqueName="[tblTransactions]" displayFolder="" count="0" memberValueDatatype="130" unbalanced="0"/>
    <cacheHierarchy uniqueName="[tblTransactions].[Misc Income]" caption="Misc Income" attribute="1" defaultMemberUniqueName="[tblTransactions].[Misc Income].[All]" allUniqueName="[tblTransactions].[Misc Income].[All]" dimensionUniqueName="[tblTransactions]" displayFolder="" count="0" memberValueDatatype="20" unbalanced="0"/>
    <cacheHierarchy uniqueName="[tblTransactions].[Nontax Income]" caption="Nontax Income" attribute="1" defaultMemberUniqueName="[tblTransactions].[Nontax Income].[All]" allUniqueName="[tblTransactions].[Nontax Income].[All]" dimensionUniqueName="[tblTransactions]" displayFolder="" count="0" memberValueDatatype="20" unbalanced="0"/>
    <cacheHierarchy uniqueName="[tblTransactions].[LT Cap Gain]" caption="LT Cap Gain" attribute="1" defaultMemberUniqueName="[tblTransactions].[LT Cap Gain].[All]" allUniqueName="[tblTransactions].[LT Cap Gain].[All]" dimensionUniqueName="[tblTransactions]" displayFolder="" count="0" memberValueDatatype="20" unbalanced="0"/>
    <cacheHierarchy uniqueName="[tblTransactions].[ST Cap Gain]" caption="ST Cap Gain" attribute="1" defaultMemberUniqueName="[tblTransactions].[ST Cap Gain].[All]" allUniqueName="[tblTransactions].[ST Cap Gain].[All]" dimensionUniqueName="[tblTransactions]" displayFolder="" count="0" memberValueDatatype="5" unbalanced="0"/>
    <cacheHierarchy uniqueName="[tblTransactions].[Notes]" caption="Notes" attribute="1" defaultMemberUniqueName="[tblTransactions].[Notes].[All]" allUniqueName="[tblTransactions].[Notes].[All]" dimensionUniqueName="[tblTransactions]" displayFolder="" count="0" memberValueDatatype="130" unbalanced="0"/>
    <cacheHierarchy uniqueName="[tblTransactions].[Date (Year)]" caption="Date (Year)" attribute="1" defaultMemberUniqueName="[tblTransactions].[Date (Year)].[All]" allUniqueName="[tblTransactions].[Date (Year)].[All]" dimensionUniqueName="[tblTransactions]" displayFolder="" count="2" memberValueDatatype="130" unbalanced="0">
      <fieldsUsage count="2">
        <fieldUsage x="-1"/>
        <fieldUsage x="2"/>
      </fieldsUsage>
    </cacheHierarchy>
    <cacheHierarchy uniqueName="[Measures].[Unit cost]" caption="Unit cost" measure="1" displayFolder="" measureGroup="tblTransactions" count="0"/>
    <cacheHierarchy uniqueName="[Measures].[Market Value]" caption="Market Value" measure="1" displayFolder="" measureGroup="tblTransactions" count="0"/>
    <cacheHierarchy uniqueName="[Measures].[UGL]" caption="UGL" measure="1" displayFolder="" measureGroup="tblTransactions" count="0"/>
    <cacheHierarchy uniqueName="[Measures].[UGL %]" caption="UGL %" measure="1" displayFolder="" measureGroup="tblTransactions" count="0"/>
    <cacheHierarchy uniqueName="[Measures].[__XL_Count tblTransactions]" caption="__XL_Count tblTransactions" measure="1" displayFolder="" measureGroup="tblTransactions" count="0" hidden="1"/>
    <cacheHierarchy uniqueName="[Measures].[__XL_Count tblQuotes]" caption="__XL_Count tblQuotes" measure="1" displayFolder="" measureGroup="tblQuotes" count="0" hidden="1"/>
    <cacheHierarchy uniqueName="[Measures].[__No measures defined]" caption="__No measures defined" measure="1" displayFolder="" count="0" hidden="1"/>
    <cacheHierarchy uniqueName="[Measures].[Sum of Basis]" caption="Sum of Basis" measure="1" displayFolder="" measureGroup="tblTransaction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tblTransaction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rice]" caption="Sum of price" measure="1" displayFolder="" measureGroup="tblQuote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Nontax Income]" caption="Count of Nontax Income" measure="1" displayFolder="" measureGroup="tbl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Misc Income]" caption="Sum of Misc Income" measure="1" displayFolder="" measureGroup="tblTransaction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Nontax Income]" caption="Sum of Nontax Income" measure="1" displayFolder="" measureGroup="tblTransaction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LT Cap Gain]" caption="Sum of LT Cap Gain" measure="1" displayFolder="" measureGroup="tblTransaction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T Cap Gain]" caption="Sum of ST Cap Gain" measure="1" displayFolder="" measureGroup="tblTransaction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3">
    <dimension measure="1" name="Measures" uniqueName="[Measures]" caption="Measures"/>
    <dimension name="tblQuotes" uniqueName="[tblQuotes]" caption="tblQuotes"/>
    <dimension name="tblTransactions" uniqueName="[tblTransactions]" caption="tblTransactions"/>
  </dimensions>
  <measureGroups count="2">
    <measureGroup name="tblQuotes" caption="tblQuotes"/>
    <measureGroup name="tblTransactions" caption="tblTransaction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tthew Jones" refreshedDate="44430.561540740739" backgroundQuery="1" createdVersion="7" refreshedVersion="7" minRefreshableVersion="3" recordCount="0" supportSubquery="1" supportAdvancedDrill="1" xr:uid="{87DBDC70-6FFA-47BB-A732-927BA3EB9E9A}">
  <cacheSource type="external" connectionId="4"/>
  <cacheFields count="12">
    <cacheField name="[Measures].[Sum of Basis]" caption="Sum of Basis" numFmtId="0" hierarchy="33" level="32767"/>
    <cacheField name="[Measures].[Sum of Quantity]" caption="Sum of Quantity" numFmtId="0" hierarchy="34" level="32767"/>
    <cacheField name="[Measures].[Sum of price]" caption="Sum of price" numFmtId="0" hierarchy="35" level="32767"/>
    <cacheField name="[Measures].[Unit cost]" caption="Unit cost" numFmtId="0" hierarchy="26" level="32767"/>
    <cacheField name="[Measures].[Market Value]" caption="Market Value" numFmtId="0" hierarchy="27" level="32767"/>
    <cacheField name="[Measures].[UGL]" caption="UGL" numFmtId="0" hierarchy="28" level="32767"/>
    <cacheField name="[Measures].[UGL %]" caption="UGL %" numFmtId="0" hierarchy="29" level="32767"/>
    <cacheField name="[Measures].[Sum of Misc Income]" caption="Sum of Misc Income" numFmtId="0" hierarchy="37" level="32767"/>
    <cacheField name="[Measures].[Sum of Nontax Income]" caption="Sum of Nontax Income" numFmtId="0" hierarchy="38" level="32767"/>
    <cacheField name="[tblQuotes].[Name].[Name]" caption="Name" numFmtId="0" level="1">
      <sharedItems count="4">
        <s v="ALGO"/>
        <s v="BTC"/>
        <s v="ETH"/>
        <s v="XRP"/>
      </sharedItems>
    </cacheField>
    <cacheField name="[Measures].[Sum of ST Cap Gain]" caption="Sum of ST Cap Gain" numFmtId="0" hierarchy="40" level="32767"/>
    <cacheField name="[Measures].[Sum of LT Cap Gain]" caption="Sum of LT Cap Gain" numFmtId="0" hierarchy="39" level="32767"/>
  </cacheFields>
  <cacheHierarchies count="41">
    <cacheHierarchy uniqueName="[tblQuotes].[Name]" caption="Name" attribute="1" defaultMemberUniqueName="[tblQuotes].[Name].[All]" allUniqueName="[tblQuotes].[Name].[All]" dimensionUniqueName="[tblQuotes]" displayFolder="" count="2" memberValueDatatype="130" unbalanced="0">
      <fieldsUsage count="2">
        <fieldUsage x="-1"/>
        <fieldUsage x="9"/>
      </fieldsUsage>
    </cacheHierarchy>
    <cacheHierarchy uniqueName="[tblQuotes].[price]" caption="price" attribute="1" defaultMemberUniqueName="[tblQuotes].[price].[All]" allUniqueName="[tblQuotes].[price].[All]" dimensionUniqueName="[tblQuotes]" displayFolder="" count="0" memberValueDatatype="5" unbalanced="0"/>
    <cacheHierarchy uniqueName="[tblQuotes].[last_updated]" caption="last_updated" attribute="1" time="1" defaultMemberUniqueName="[tblQuotes].[last_updated].[All]" allUniqueName="[tblQuotes].[last_updated].[All]" dimensionUniqueName="[tblQuotes]" displayFolder="" count="0" memberValueDatatype="7" unbalanced="0"/>
    <cacheHierarchy uniqueName="[tblTransactions].[Date]" caption="Date" attribute="1" time="1" defaultMemberUniqueName="[tblTransactions].[Date].[All]" allUniqueName="[tblTransactions].[Date].[All]" dimensionUniqueName="[tblTransactions]" displayFolder="" count="0" memberValueDatatype="7" unbalanced="0"/>
    <cacheHierarchy uniqueName="[tblTransactions].[Type]" caption="Type" attribute="1" defaultMemberUniqueName="[tblTransactions].[Type].[All]" allUniqueName="[tblTransactions].[Type].[All]" dimensionUniqueName="[tblTransactions]" displayFolder="" count="0" memberValueDatatype="130" unbalanced="0"/>
    <cacheHierarchy uniqueName="[tblTransactions].[Account]" caption="Account" attribute="1" defaultMemberUniqueName="[tblTransactions].[Account].[All]" allUniqueName="[tblTransactions].[Account].[All]" dimensionUniqueName="[tblTransactions]" displayFolder="" count="0" memberValueDatatype="130" unbalanced="0"/>
    <cacheHierarchy uniqueName="[tblTransactions].[Asset]" caption="Asset" attribute="1" defaultMemberUniqueName="[tblTransactions].[Asset].[All]" allUniqueName="[tblTransactions].[Asset].[All]" dimensionUniqueName="[tblTransactions]" displayFolder="" count="0" memberValueDatatype="130" unbalanced="0"/>
    <cacheHierarchy uniqueName="[tblTransactions].[Quantity]" caption="Quantity" attribute="1" defaultMemberUniqueName="[tblTransactions].[Quantity].[All]" allUniqueName="[tblTransactions].[Quantity].[All]" dimensionUniqueName="[tblTransactions]" displayFolder="" count="0" memberValueDatatype="5" unbalanced="0"/>
    <cacheHierarchy uniqueName="[tblTransactions].[USD]" caption="USD" attribute="1" defaultMemberUniqueName="[tblTransactions].[USD].[All]" allUniqueName="[tblTransactions].[USD].[All]" dimensionUniqueName="[tblTransactions]" displayFolder="" count="0" memberValueDatatype="20" unbalanced="0"/>
    <cacheHierarchy uniqueName="[tblTransactions].[USD / Share]" caption="USD / Share" attribute="1" defaultMemberUniqueName="[tblTransactions].[USD / Share].[All]" allUniqueName="[tblTransactions].[USD / Share].[All]" dimensionUniqueName="[tblTransactions]" displayFolder="" count="0" memberValueDatatype="5" unbalanced="0"/>
    <cacheHierarchy uniqueName="[tblTransactions].[Basis]" caption="Basis" attribute="1" defaultMemberUniqueName="[tblTransactions].[Basis].[All]" allUniqueName="[tblTransactions].[Basis].[All]" dimensionUniqueName="[tblTransactions]" displayFolder="" count="0" memberValueDatatype="5" unbalanced="0"/>
    <cacheHierarchy uniqueName="[tblTransactions].[Cumulative Shares]" caption="Cumulative Shares" attribute="1" defaultMemberUniqueName="[tblTransactions].[Cumulative Shares].[All]" allUniqueName="[tblTransactions].[Cumulative Shares].[All]" dimensionUniqueName="[tblTransactions]" displayFolder="" count="0" memberValueDatatype="5" unbalanced="0"/>
    <cacheHierarchy uniqueName="[tblTransactions].[Cumulative Basis]" caption="Cumulative Basis" attribute="1" defaultMemberUniqueName="[tblTransactions].[Cumulative Basis].[All]" allUniqueName="[tblTransactions].[Cumulative Basis].[All]" dimensionUniqueName="[tblTransactions]" displayFolder="" count="0" memberValueDatatype="5" unbalanced="0"/>
    <cacheHierarchy uniqueName="[tblTransactions].[Prior Qty]" caption="Prior Qty" attribute="1" defaultMemberUniqueName="[tblTransactions].[Prior Qty].[All]" allUniqueName="[tblTransactions].[Prior Qty].[All]" dimensionUniqueName="[tblTransactions]" displayFolder="" count="0" memberValueDatatype="5" unbalanced="0"/>
    <cacheHierarchy uniqueName="[tblTransactions].[Prior Basis]" caption="Prior Basis" attribute="1" defaultMemberUniqueName="[tblTransactions].[Prior Basis].[All]" allUniqueName="[tblTransactions].[Prior Basis].[All]" dimensionUniqueName="[tblTransactions]" displayFolder="" count="0" memberValueDatatype="5" unbalanced="0"/>
    <cacheHierarchy uniqueName="[tblTransactions].[Prior LT Basis]" caption="Prior LT Basis" attribute="1" defaultMemberUniqueName="[tblTransactions].[Prior LT Basis].[All]" allUniqueName="[tblTransactions].[Prior LT Basis].[All]" dimensionUniqueName="[tblTransactions]" displayFolder="" count="0" memberValueDatatype="5" unbalanced="0"/>
    <cacheHierarchy uniqueName="[tblTransactions].[Prior LT Qty]" caption="Prior LT Qty" attribute="1" defaultMemberUniqueName="[tblTransactions].[Prior LT Qty].[All]" allUniqueName="[tblTransactions].[Prior LT Qty].[All]" dimensionUniqueName="[tblTransactions]" displayFolder="" count="0" memberValueDatatype="5" unbalanced="0"/>
    <cacheHierarchy uniqueName="[tblTransactions].[Prior ST Basis]" caption="Prior ST Basis" attribute="1" defaultMemberUniqueName="[tblTransactions].[Prior ST Basis].[All]" allUniqueName="[tblTransactions].[Prior ST Basis].[All]" dimensionUniqueName="[tblTransactions]" displayFolder="" count="0" memberValueDatatype="20" unbalanced="0"/>
    <cacheHierarchy uniqueName="[tblTransactions].[Prior ST Qty]" caption="Prior ST Qty" attribute="1" defaultMemberUniqueName="[tblTransactions].[Prior ST Qty].[All]" allUniqueName="[tblTransactions].[Prior ST Qty].[All]" dimensionUniqueName="[tblTransactions]" displayFolder="" count="0" memberValueDatatype="20" unbalanced="0"/>
    <cacheHierarchy uniqueName="[tblTransactions].[Tax Treatment]" caption="Tax Treatment" attribute="1" defaultMemberUniqueName="[tblTransactions].[Tax Treatment].[All]" allUniqueName="[tblTransactions].[Tax Treatment].[All]" dimensionUniqueName="[tblTransactions]" displayFolder="" count="0" memberValueDatatype="130" unbalanced="0"/>
    <cacheHierarchy uniqueName="[tblTransactions].[Misc Income]" caption="Misc Income" attribute="1" defaultMemberUniqueName="[tblTransactions].[Misc Income].[All]" allUniqueName="[tblTransactions].[Misc Income].[All]" dimensionUniqueName="[tblTransactions]" displayFolder="" count="0" memberValueDatatype="20" unbalanced="0"/>
    <cacheHierarchy uniqueName="[tblTransactions].[Nontax Income]" caption="Nontax Income" attribute="1" defaultMemberUniqueName="[tblTransactions].[Nontax Income].[All]" allUniqueName="[tblTransactions].[Nontax Income].[All]" dimensionUniqueName="[tblTransactions]" displayFolder="" count="0" memberValueDatatype="20" unbalanced="0"/>
    <cacheHierarchy uniqueName="[tblTransactions].[LT Cap Gain]" caption="LT Cap Gain" attribute="1" defaultMemberUniqueName="[tblTransactions].[LT Cap Gain].[All]" allUniqueName="[tblTransactions].[LT Cap Gain].[All]" dimensionUniqueName="[tblTransactions]" displayFolder="" count="0" memberValueDatatype="20" unbalanced="0"/>
    <cacheHierarchy uniqueName="[tblTransactions].[ST Cap Gain]" caption="ST Cap Gain" attribute="1" defaultMemberUniqueName="[tblTransactions].[ST Cap Gain].[All]" allUniqueName="[tblTransactions].[ST Cap Gain].[All]" dimensionUniqueName="[tblTransactions]" displayFolder="" count="0" memberValueDatatype="5" unbalanced="0"/>
    <cacheHierarchy uniqueName="[tblTransactions].[Notes]" caption="Notes" attribute="1" defaultMemberUniqueName="[tblTransactions].[Notes].[All]" allUniqueName="[tblTransactions].[Notes].[All]" dimensionUniqueName="[tblTransactions]" displayFolder="" count="0" memberValueDatatype="130" unbalanced="0"/>
    <cacheHierarchy uniqueName="[tblTransactions].[Date (Year)]" caption="Date (Year)" attribute="1" defaultMemberUniqueName="[tblTransactions].[Date (Year)].[All]" allUniqueName="[tblTransactions].[Date (Year)].[All]" dimensionUniqueName="[tblTransactions]" displayFolder="" count="0" memberValueDatatype="130" unbalanced="0"/>
    <cacheHierarchy uniqueName="[Measures].[Unit cost]" caption="Unit cost" measure="1" displayFolder="" measureGroup="tblTransactions" count="0" oneField="1">
      <fieldsUsage count="1">
        <fieldUsage x="3"/>
      </fieldsUsage>
    </cacheHierarchy>
    <cacheHierarchy uniqueName="[Measures].[Market Value]" caption="Market Value" measure="1" displayFolder="" measureGroup="tblTransactions" count="0" oneField="1">
      <fieldsUsage count="1">
        <fieldUsage x="4"/>
      </fieldsUsage>
    </cacheHierarchy>
    <cacheHierarchy uniqueName="[Measures].[UGL]" caption="UGL" measure="1" displayFolder="" measureGroup="tblTransactions" count="0" oneField="1">
      <fieldsUsage count="1">
        <fieldUsage x="5"/>
      </fieldsUsage>
    </cacheHierarchy>
    <cacheHierarchy uniqueName="[Measures].[UGL %]" caption="UGL %" measure="1" displayFolder="" measureGroup="tblTransactions" count="0" oneField="1">
      <fieldsUsage count="1">
        <fieldUsage x="6"/>
      </fieldsUsage>
    </cacheHierarchy>
    <cacheHierarchy uniqueName="[Measures].[__XL_Count tblTransactions]" caption="__XL_Count tblTransactions" measure="1" displayFolder="" measureGroup="tblTransactions" count="0" hidden="1"/>
    <cacheHierarchy uniqueName="[Measures].[__XL_Count tblQuotes]" caption="__XL_Count tblQuotes" measure="1" displayFolder="" measureGroup="tblQuotes" count="0" hidden="1"/>
    <cacheHierarchy uniqueName="[Measures].[__No measures defined]" caption="__No measures defined" measure="1" displayFolder="" count="0" hidden="1"/>
    <cacheHierarchy uniqueName="[Measures].[Sum of Basis]" caption="Sum of Basis" measure="1" displayFolder="" measureGroup="tblTransaction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Quantity]" caption="Sum of Quantity" measure="1" displayFolder="" measureGroup="tblTransaction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price]" caption="Sum of price" measure="1" displayFolder="" measureGroup="tblQuo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Nontax Income]" caption="Count of Nontax Income" measure="1" displayFolder="" measureGroup="tbl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Misc Income]" caption="Sum of Misc Income" measure="1" displayFolder="" measureGroup="tblTransaction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Nontax Income]" caption="Sum of Nontax Income" measure="1" displayFolder="" measureGroup="tblTransactions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LT Cap Gain]" caption="Sum of LT Cap Gain" measure="1" displayFolder="" measureGroup="tblTransactions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ST Cap Gain]" caption="Sum of ST Cap Gain" measure="1" displayFolder="" measureGroup="tblTransactions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3">
    <dimension measure="1" name="Measures" uniqueName="[Measures]" caption="Measures"/>
    <dimension name="tblQuotes" uniqueName="[tblQuotes]" caption="tblQuotes"/>
    <dimension name="tblTransactions" uniqueName="[tblTransactions]" caption="tblTransactions"/>
  </dimensions>
  <measureGroups count="2">
    <measureGroup name="tblQuotes" caption="tblQuotes"/>
    <measureGroup name="tblTransactions" caption="tblTransaction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CDA0A-8F29-4B3F-9CF4-514975858D89}" name="tblAssetSummary" cacheId="62" applyNumberFormats="0" applyBorderFormats="0" applyFontFormats="0" applyPatternFormats="0" applyAlignmentFormats="0" applyWidthHeightFormats="1" dataCaption="Values" updatedVersion="7" minRefreshableVersion="3" subtotalHiddenItems="1" rowGrandTotals="0" colGrandTotals="0" itemPrintTitles="1" createdVersion="7" indent="0" outline="1" outlineData="1" multipleFieldFilters="0" chartFormat="1">
  <location ref="B5:M9" firstHeaderRow="0" firstDataRow="1" firstDataCol="1"/>
  <pivotFields count="12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subtotalTop="0" showAll="0" defaultSubtotal="0"/>
  </pivotFields>
  <rowFields count="1">
    <field x="9"/>
  </rowFields>
  <rowItems count="4">
    <i>
      <x/>
    </i>
    <i>
      <x v="1"/>
    </i>
    <i>
      <x v="2"/>
    </i>
    <i>
      <x v="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Qty" fld="1" baseField="0" baseItem="0" numFmtId="167"/>
    <dataField name="Mkt Price" fld="2" baseField="0" baseItem="0" numFmtId="168"/>
    <dataField fld="3" subtotal="count" baseField="0" baseItem="0" numFmtId="168"/>
    <dataField name="Cost Basis" fld="0" baseField="0" baseItem="0" numFmtId="43"/>
    <dataField name="Market Value" fld="4" subtotal="count" baseField="0" baseItem="0" numFmtId="43"/>
    <dataField fld="5" subtotal="count" baseField="0" baseItem="0" numFmtId="43"/>
    <dataField fld="6" subtotal="count" baseField="0" baseItem="0" numFmtId="10"/>
    <dataField name="Misc Income" fld="7" baseField="0" baseItem="0" numFmtId="43"/>
    <dataField name="Nontax Income" fld="8" baseField="0" baseItem="0" numFmtId="43"/>
    <dataField name="ST Cap Gain" fld="10" baseField="9" baseItem="0" numFmtId="43"/>
    <dataField name="LT Cap Gain" fld="11" baseField="9" baseItem="0" numFmtId="43"/>
  </dataFields>
  <formats count="10">
    <format dxfId="37">
      <pivotArea outline="0" fieldPosition="0">
        <references count="1">
          <reference field="4294967294" count="1">
            <x v="0"/>
          </reference>
        </references>
      </pivotArea>
    </format>
    <format dxfId="36">
      <pivotArea outline="0" fieldPosition="0">
        <references count="1">
          <reference field="4294967294" count="1">
            <x v="2"/>
          </reference>
        </references>
      </pivotArea>
    </format>
    <format dxfId="35">
      <pivotArea outline="0" fieldPosition="0">
        <references count="1">
          <reference field="4294967294" count="1">
            <x v="1"/>
          </reference>
        </references>
      </pivotArea>
    </format>
    <format dxfId="34">
      <pivotArea outline="0" fieldPosition="0">
        <references count="1">
          <reference field="4294967294" count="1">
            <x v="7"/>
          </reference>
        </references>
      </pivotArea>
    </format>
    <format dxfId="33">
      <pivotArea outline="0" fieldPosition="0">
        <references count="1">
          <reference field="4294967294" count="1">
            <x v="8"/>
          </reference>
        </references>
      </pivotArea>
    </format>
    <format dxfId="3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1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30">
      <pivotArea outline="0" fieldPosition="0">
        <references count="1">
          <reference field="4294967294" count="1">
            <x v="9"/>
          </reference>
        </references>
      </pivotArea>
    </format>
    <format dxfId="29">
      <pivotArea outline="0" fieldPosition="0">
        <references count="1">
          <reference field="4294967294" count="1">
            <x v="10"/>
          </reference>
        </references>
      </pivotArea>
    </format>
    <format dxfId="28">
      <pivotArea dataOnly="0" labelOnly="1" outline="0" fieldPosition="0">
        <references count="1">
          <reference field="4294967294" count="2">
            <x v="9"/>
            <x v="10"/>
          </reference>
        </references>
      </pivotArea>
    </format>
  </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Market 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st Basis"/>
    <pivotHierarchy dragToData="1" caption="Qty"/>
    <pivotHierarchy dragToData="1" caption="Mkt Price"/>
    <pivotHierarchy dragToData="1"/>
    <pivotHierarchy dragToData="1" caption="Misc Income"/>
    <pivotHierarchy dragToData="1" caption="Nontax Income"/>
    <pivotHierarchy dragToRow="0" dragToCol="0" dragToPage="0" dragToData="1" caption="LT Cap Gain"/>
    <pivotHierarchy dragToData="1" caption="ST Cap Gain"/>
  </pivotHierarchies>
  <pivotTableStyleInfo name="PivotStyleMedium9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Quotes]"/>
        <x15:activeTabTopLevelEntity name="[tbl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B942E-F9F1-4BB6-AE30-C27325B18378}" name="tblAnnualSummary" cacheId="59" applyNumberFormats="0" applyBorderFormats="0" applyFontFormats="0" applyPatternFormats="0" applyAlignmentFormats="0" applyWidthHeightFormats="1" dataCaption="Values" updatedVersion="7" minRefreshableVersion="3" subtotalHiddenItems="1" rowGrandTotals="0" itemPrintTitles="1" createdVersion="7" indent="0" outline="1" outlineData="1" multipleFieldFilters="0">
  <location ref="B5:F12" firstHeaderRow="0" firstDataRow="1" firstDataCol="1"/>
  <pivotFields count="5">
    <pivotField dataField="1" subtotalTop="0" showAll="0" defaultSubtotal="0"/>
    <pivotField dataField="1" subtotalTop="0" showAll="0" defaultSubtotal="0"/>
    <pivotField axis="axisRow" allDrilled="1" subtotalTop="0" showAll="0" dataSourceSort="1" defaultSubtotal="0">
      <items count="7">
        <item x="0" e="0"/>
        <item x="1" e="0"/>
        <item x="2" e="0"/>
        <item x="3" e="0"/>
        <item x="4" e="0"/>
        <item x="5" e="0"/>
        <item x="6" e="0"/>
      </items>
    </pivotField>
    <pivotField dataField="1" subtotalTop="0" showAll="0" defaultSubtotal="0"/>
    <pivotField dataField="1" subtotalTop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isc Income" fld="0" baseField="0" baseItem="0" numFmtId="43"/>
    <dataField name="Nontax Income" fld="1" baseField="0" baseItem="0" numFmtId="43"/>
    <dataField name="ST Cap Gain" fld="4" baseField="2" baseItem="0" numFmtId="43"/>
    <dataField name="LT Cap Gain" fld="3" baseField="2" baseItem="0" numFmtId="43"/>
  </dataFields>
  <formats count="8">
    <format dxfId="27">
      <pivotArea field="2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">
      <pivotArea outline="0" fieldPosition="0">
        <references count="1">
          <reference field="4294967294" count="1">
            <x v="2"/>
          </reference>
        </references>
      </pivotArea>
    </format>
    <format dxfId="24">
      <pivotArea outline="0" fieldPosition="0">
        <references count="1">
          <reference field="4294967294" count="1">
            <x v="3"/>
          </reference>
        </references>
      </pivotArea>
    </format>
    <format dxfId="23">
      <pivotArea field="2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1">
      <pivotArea field="2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Market 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st Basis"/>
    <pivotHierarchy dragToData="1" caption="Qty"/>
    <pivotHierarchy dragToData="1" caption="Mkt Price"/>
    <pivotHierarchy dragToData="1"/>
    <pivotHierarchy dragToData="1" caption="Misc Income"/>
    <pivotHierarchy dragToData="1" caption="Nontax Income"/>
    <pivotHierarchy dragToRow="0" dragToCol="0" dragToPage="0" dragToData="1" caption="LT Cap Gain"/>
    <pivotHierarchy dragToData="1" caption="ST Cap Gain"/>
  </pivotHierarchies>
  <pivotTableStyleInfo name="PivotStyleMedium9" showRowHeaders="1" showColHeaders="1" showRowStripes="0" showColStripes="0" showLastColumn="1"/>
  <rowHierarchiesUsage count="1"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Quotes]"/>
        <x15:activeTabTopLevelEntity name="[tbl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F7D3E26-A780-49BA-B26C-3CB3675D7BF8}" autoFormatId="16" applyNumberFormats="0" applyBorderFormats="0" applyFontFormats="0" applyPatternFormats="0" applyAlignmentFormats="0" applyWidthHeightFormats="0">
  <queryTableRefresh nextId="8">
    <queryTableFields count="3">
      <queryTableField id="1" name="Name" tableColumnId="1"/>
      <queryTableField id="6" name="price" tableColumnId="4"/>
      <queryTableField id="7" name="last_updated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Transactions" displayName="tblTransactions" ref="B2:W16" totalsRowShown="0" headerRowDxfId="19">
  <autoFilter ref="B2:W16" xr:uid="{00000000-0009-0000-0100-000001000000}"/>
  <sortState xmlns:xlrd2="http://schemas.microsoft.com/office/spreadsheetml/2017/richdata2" ref="B3:H3">
    <sortCondition ref="B2:B3"/>
  </sortState>
  <tableColumns count="22">
    <tableColumn id="1" xr3:uid="{00000000-0010-0000-0100-000001000000}" name="Date" dataDxfId="18"/>
    <tableColumn id="2" xr3:uid="{00000000-0010-0000-0100-000002000000}" name="Type"/>
    <tableColumn id="14" xr3:uid="{00000000-0010-0000-0100-00000E000000}" name="Account"/>
    <tableColumn id="3" xr3:uid="{00000000-0010-0000-0100-000003000000}" name="Asset"/>
    <tableColumn id="4" xr3:uid="{00000000-0010-0000-0100-000004000000}" name="Quantity" dataDxfId="17" dataCellStyle="Comma"/>
    <tableColumn id="5" xr3:uid="{00000000-0010-0000-0100-000005000000}" name="USD" dataDxfId="16" dataCellStyle="Comma"/>
    <tableColumn id="8" xr3:uid="{00000000-0010-0000-0100-000008000000}" name="USD / Share" dataDxfId="15" dataCellStyle="Comma">
      <calculatedColumnFormula>IFERROR(tblTransactions[[#This Row],[USD]]/tblTransactions[[#This Row],[Quantity]],0)</calculatedColumnFormula>
    </tableColumn>
    <tableColumn id="11" xr3:uid="{00000000-0010-0000-0100-00000B000000}" name="Basis" dataDxfId="14" dataCellStyle="Comma">
      <calculatedColumnFormula>IF(tblTransactions[[#This Row],[Type]]&lt;&gt;"Transfer",ROUND(tblTransactions[[#This Row],[USD]]-tblTransactions[[#This Row],[Nontax Income]]+tblTransactions[[#This Row],[ST Cap Gain]]+tblTransactions[[#This Row],[LT Cap Gain]],2),0)</calculatedColumnFormula>
    </tableColumn>
    <tableColumn id="20" xr3:uid="{00000000-0010-0000-0100-000014000000}" name="Cumulative Shares" dataDxfId="13" dataCellStyle="Comma">
      <calculatedColumnFormula>SUMIFS($F$2:tblTransactions[[#This Row],[Quantity]],$E$2:tblTransactions[[#This Row],[Asset]],tblTransactions[[#This Row],[Asset]])</calculatedColumnFormula>
    </tableColumn>
    <tableColumn id="16" xr3:uid="{00000000-0010-0000-0100-000010000000}" name="Cumulative Basis" dataDxfId="12" dataCellStyle="Comma">
      <calculatedColumnFormula>SUMIFS($I$2:tblTransactions[[#This Row],[Basis]],$E$2:tblTransactions[[#This Row],[Asset]],tblTransactions[[#This Row],[Asset]])</calculatedColumnFormula>
    </tableColumn>
    <tableColumn id="22" xr3:uid="{00000000-0010-0000-0100-000016000000}" name="Prior Qty" dataDxfId="11" dataCellStyle="Comma">
      <calculatedColumnFormula>SUMIFS($F$2:OFFSET(tblTransactions[[#This Row],[Quantity]],-1,0),$E$2:OFFSET(tblTransactions[[#This Row],[Asset]],-1,0),tblTransactions[[#This Row],[Asset]])</calculatedColumnFormula>
    </tableColumn>
    <tableColumn id="17" xr3:uid="{00000000-0010-0000-0100-000011000000}" name="Prior Basis" dataDxfId="10" dataCellStyle="Comma">
      <calculatedColumnFormula>SUMIFS($I$2:OFFSET(tblTransactions[[#This Row],[Basis]],-1,0),$E$2:OFFSET(tblTransactions[[#This Row],[Asset]],-1,0),tblTransactions[[#This Row],[Asset]])</calculatedColumnFormula>
    </tableColumn>
    <tableColumn id="18" xr3:uid="{00000000-0010-0000-0100-000012000000}" name="Prior LT Basis" dataDxfId="9" dataCellStyle="Comma">
      <calculatedColumnFormula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calculatedColumnFormula>
    </tableColumn>
    <tableColumn id="21" xr3:uid="{00000000-0010-0000-0100-000015000000}" name="Prior LT Qty" dataDxfId="8" dataCellStyle="Comma">
      <calculatedColumnFormula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calculatedColumnFormula>
    </tableColumn>
    <tableColumn id="15" xr3:uid="{00000000-0010-0000-0100-00000F000000}" name="Prior ST Basis" dataDxfId="7" dataCellStyle="Comma">
      <calculatedColumnFormula>tblTransactions[[#This Row],[Prior Basis]]-tblTransactions[[#This Row],[Prior LT Basis]]</calculatedColumnFormula>
    </tableColumn>
    <tableColumn id="19" xr3:uid="{00000000-0010-0000-0100-000013000000}" name="Prior ST Qty" dataDxfId="6" dataCellStyle="Comma">
      <calculatedColumnFormula>tblTransactions[[#This Row],[Prior Qty]]-tblTransactions[[#This Row],[Prior LT Qty]]</calculatedColumnFormula>
    </tableColumn>
    <tableColumn id="23" xr3:uid="{F6C80ED0-3895-4217-9756-5523ABF29621}" name="Tax Treatment" dataDxfId="5" dataCellStyle="Comma">
      <calculatedColumnFormula>VLOOKUP(tblTransactions[[#This Row],[Type]],tblTransactionTypes[],3,FALSE)</calculatedColumnFormula>
    </tableColumn>
    <tableColumn id="6" xr3:uid="{00000000-0010-0000-0100-000006000000}" name="Misc Income" dataDxfId="4" dataCellStyle="Comma">
      <calculatedColumnFormula>IF(tblTransactions[[#This Row],[Tax Treatment]]="Taxable Income",tblTransactions[[#This Row],[USD]],0)</calculatedColumnFormula>
    </tableColumn>
    <tableColumn id="12" xr3:uid="{00000000-0010-0000-0100-00000C000000}" name="Nontax Income" dataDxfId="3" dataCellStyle="Comma">
      <calculatedColumnFormula>IF(tblTransactions[[#This Row],[Tax Treatment]]="Nontaxable Income",tblTransactions[[#This Row],[USD]],0)</calculatedColumnFormula>
    </tableColumn>
    <tableColumn id="10" xr3:uid="{00000000-0010-0000-0100-00000A000000}" name="LT Cap Gain" dataDxfId="2" dataCellStyle="Comma">
      <calculatedColumnFormula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calculatedColumnFormula>
    </tableColumn>
    <tableColumn id="9" xr3:uid="{00000000-0010-0000-0100-000009000000}" name="ST Cap Gain" dataDxfId="1" dataCellStyle="Comma">
      <calculatedColumnFormula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calculatedColumnFormula>
    </tableColumn>
    <tableColumn id="7" xr3:uid="{00000000-0010-0000-0100-000007000000}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AF5CD2-3DFA-49E0-BB3C-1590F99234CA}" name="tblQuotes" displayName="tblQuotes" ref="B5:D9" tableType="queryTable" totalsRowShown="0">
  <autoFilter ref="B5:D9" xr:uid="{1AAF5CD2-3DFA-49E0-BB3C-1590F99234CA}"/>
  <tableColumns count="3">
    <tableColumn id="1" xr3:uid="{1EAC287C-CB18-41BD-9FCA-1DFBD05CF973}" uniqueName="1" name="Name" queryTableFieldId="1"/>
    <tableColumn id="4" xr3:uid="{9899F446-6112-4B68-B61B-09721EFAA344}" uniqueName="4" name="price" queryTableFieldId="6"/>
    <tableColumn id="5" xr3:uid="{57B58FE1-8FAF-4452-BCB8-46F1C545FE1A}" uniqueName="5" name="last_updated" queryTableFieldId="7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blTransactionTypes" displayName="tblTransactionTypes" ref="B6:D11" totalsRowShown="0">
  <autoFilter ref="B6:D11" xr:uid="{00000000-0009-0000-0100-000007000000}"/>
  <tableColumns count="3">
    <tableColumn id="1" xr3:uid="{00000000-0010-0000-0200-000001000000}" name="Transaction Type"/>
    <tableColumn id="2" xr3:uid="{B0D9B05F-D3BA-4075-926E-0775EB2C9BAF}" name="Description"/>
    <tableColumn id="3" xr3:uid="{34D5B3A6-E051-4C83-B219-1D50EC7DCE10}" name="Tax Trea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B3099-134C-4C21-93EA-E30F08BD2D41}">
  <sheetPr codeName="Sheet3"/>
  <dimension ref="B2:M19"/>
  <sheetViews>
    <sheetView workbookViewId="0">
      <selection activeCell="H27" sqref="H27"/>
    </sheetView>
  </sheetViews>
  <sheetFormatPr defaultRowHeight="15" x14ac:dyDescent="0.25"/>
  <cols>
    <col min="1" max="1" width="3" customWidth="1"/>
    <col min="2" max="5" width="14.7109375" customWidth="1"/>
    <col min="6" max="13" width="10.7109375" customWidth="1"/>
    <col min="14" max="14" width="5.5703125" bestFit="1" customWidth="1"/>
    <col min="15" max="15" width="12.140625" bestFit="1" customWidth="1"/>
    <col min="16" max="16" width="14.5703125" bestFit="1" customWidth="1"/>
    <col min="17" max="17" width="5.42578125" bestFit="1" customWidth="1"/>
    <col min="18" max="18" width="5.5703125" bestFit="1" customWidth="1"/>
    <col min="19" max="19" width="12.140625" bestFit="1" customWidth="1"/>
    <col min="20" max="20" width="14.5703125" bestFit="1" customWidth="1"/>
    <col min="21" max="21" width="5.42578125" bestFit="1" customWidth="1"/>
    <col min="22" max="22" width="5.5703125" bestFit="1" customWidth="1"/>
    <col min="23" max="23" width="12.140625" bestFit="1" customWidth="1"/>
    <col min="24" max="24" width="14.5703125" bestFit="1" customWidth="1"/>
    <col min="25" max="25" width="5.42578125" bestFit="1" customWidth="1"/>
    <col min="26" max="26" width="5.5703125" bestFit="1" customWidth="1"/>
    <col min="27" max="27" width="12.140625" bestFit="1" customWidth="1"/>
    <col min="28" max="28" width="14.5703125" bestFit="1" customWidth="1"/>
    <col min="29" max="29" width="5.42578125" bestFit="1" customWidth="1"/>
    <col min="30" max="30" width="5.5703125" bestFit="1" customWidth="1"/>
    <col min="31" max="31" width="12.140625" bestFit="1" customWidth="1"/>
    <col min="32" max="32" width="14.5703125" bestFit="1" customWidth="1"/>
    <col min="33" max="33" width="5.42578125" bestFit="1" customWidth="1"/>
    <col min="34" max="34" width="5.5703125" bestFit="1" customWidth="1"/>
    <col min="35" max="35" width="12.140625" bestFit="1" customWidth="1"/>
    <col min="36" max="36" width="14.5703125" bestFit="1" customWidth="1"/>
    <col min="37" max="37" width="5.42578125" bestFit="1" customWidth="1"/>
    <col min="38" max="38" width="5.5703125" bestFit="1" customWidth="1"/>
    <col min="39" max="39" width="12.140625" bestFit="1" customWidth="1"/>
    <col min="40" max="40" width="14.5703125" bestFit="1" customWidth="1"/>
    <col min="41" max="41" width="5.42578125" bestFit="1" customWidth="1"/>
    <col min="42" max="42" width="5.5703125" bestFit="1" customWidth="1"/>
    <col min="43" max="43" width="12.140625" bestFit="1" customWidth="1"/>
    <col min="44" max="44" width="14.5703125" bestFit="1" customWidth="1"/>
    <col min="45" max="45" width="5.42578125" bestFit="1" customWidth="1"/>
    <col min="46" max="46" width="5.5703125" bestFit="1" customWidth="1"/>
    <col min="47" max="47" width="12.140625" bestFit="1" customWidth="1"/>
    <col min="48" max="48" width="14.5703125" bestFit="1" customWidth="1"/>
    <col min="49" max="49" width="5.42578125" bestFit="1" customWidth="1"/>
    <col min="50" max="50" width="5.5703125" bestFit="1" customWidth="1"/>
    <col min="51" max="51" width="12.140625" bestFit="1" customWidth="1"/>
    <col min="52" max="52" width="14.5703125" bestFit="1" customWidth="1"/>
    <col min="53" max="53" width="5.42578125" bestFit="1" customWidth="1"/>
    <col min="54" max="54" width="5.5703125" bestFit="1" customWidth="1"/>
    <col min="55" max="55" width="12.140625" bestFit="1" customWidth="1"/>
    <col min="56" max="56" width="14.5703125" bestFit="1" customWidth="1"/>
    <col min="57" max="57" width="5.42578125" bestFit="1" customWidth="1"/>
    <col min="58" max="58" width="5.5703125" bestFit="1" customWidth="1"/>
    <col min="59" max="59" width="12.140625" bestFit="1" customWidth="1"/>
    <col min="60" max="60" width="14.5703125" bestFit="1" customWidth="1"/>
    <col min="61" max="61" width="5.42578125" bestFit="1" customWidth="1"/>
    <col min="62" max="62" width="5.5703125" bestFit="1" customWidth="1"/>
    <col min="63" max="63" width="12.140625" bestFit="1" customWidth="1"/>
    <col min="64" max="64" width="14.5703125" bestFit="1" customWidth="1"/>
    <col min="65" max="65" width="5.42578125" bestFit="1" customWidth="1"/>
    <col min="66" max="66" width="5.5703125" bestFit="1" customWidth="1"/>
    <col min="67" max="67" width="12.140625" bestFit="1" customWidth="1"/>
    <col min="68" max="68" width="14.5703125" bestFit="1" customWidth="1"/>
    <col min="69" max="69" width="5.42578125" bestFit="1" customWidth="1"/>
    <col min="70" max="70" width="5.5703125" bestFit="1" customWidth="1"/>
    <col min="71" max="71" width="12.140625" bestFit="1" customWidth="1"/>
    <col min="72" max="72" width="14.5703125" bestFit="1" customWidth="1"/>
    <col min="73" max="73" width="5.42578125" bestFit="1" customWidth="1"/>
    <col min="74" max="74" width="5.5703125" bestFit="1" customWidth="1"/>
    <col min="75" max="75" width="12.140625" bestFit="1" customWidth="1"/>
    <col min="76" max="76" width="14.5703125" bestFit="1" customWidth="1"/>
    <col min="77" max="77" width="5.42578125" bestFit="1" customWidth="1"/>
    <col min="78" max="78" width="5.5703125" bestFit="1" customWidth="1"/>
    <col min="79" max="79" width="12.140625" bestFit="1" customWidth="1"/>
    <col min="80" max="80" width="14.5703125" bestFit="1" customWidth="1"/>
    <col min="81" max="81" width="5.42578125" bestFit="1" customWidth="1"/>
    <col min="82" max="82" width="5.5703125" bestFit="1" customWidth="1"/>
    <col min="83" max="83" width="12.140625" bestFit="1" customWidth="1"/>
    <col min="84" max="84" width="14.5703125" bestFit="1" customWidth="1"/>
    <col min="85" max="85" width="5.42578125" bestFit="1" customWidth="1"/>
    <col min="86" max="86" width="5.5703125" bestFit="1" customWidth="1"/>
    <col min="87" max="87" width="12.140625" bestFit="1" customWidth="1"/>
    <col min="88" max="88" width="14.5703125" bestFit="1" customWidth="1"/>
    <col min="89" max="89" width="5.42578125" bestFit="1" customWidth="1"/>
    <col min="90" max="90" width="5.5703125" bestFit="1" customWidth="1"/>
    <col min="91" max="91" width="12.140625" bestFit="1" customWidth="1"/>
    <col min="92" max="92" width="14.5703125" bestFit="1" customWidth="1"/>
    <col min="93" max="93" width="5.42578125" bestFit="1" customWidth="1"/>
    <col min="94" max="94" width="5.5703125" bestFit="1" customWidth="1"/>
    <col min="95" max="95" width="12.140625" bestFit="1" customWidth="1"/>
    <col min="96" max="96" width="14.5703125" bestFit="1" customWidth="1"/>
    <col min="97" max="97" width="5.42578125" bestFit="1" customWidth="1"/>
    <col min="98" max="98" width="5.5703125" bestFit="1" customWidth="1"/>
    <col min="99" max="99" width="12.140625" bestFit="1" customWidth="1"/>
    <col min="100" max="100" width="14.5703125" bestFit="1" customWidth="1"/>
    <col min="101" max="101" width="5.42578125" bestFit="1" customWidth="1"/>
    <col min="102" max="102" width="5.5703125" bestFit="1" customWidth="1"/>
    <col min="103" max="103" width="12.140625" bestFit="1" customWidth="1"/>
    <col min="104" max="104" width="14.5703125" bestFit="1" customWidth="1"/>
    <col min="105" max="105" width="5.42578125" bestFit="1" customWidth="1"/>
    <col min="106" max="106" width="5.5703125" bestFit="1" customWidth="1"/>
    <col min="107" max="107" width="12.140625" bestFit="1" customWidth="1"/>
    <col min="108" max="108" width="14.5703125" bestFit="1" customWidth="1"/>
    <col min="109" max="109" width="5.42578125" bestFit="1" customWidth="1"/>
    <col min="110" max="110" width="5.5703125" bestFit="1" customWidth="1"/>
    <col min="111" max="111" width="12.140625" bestFit="1" customWidth="1"/>
    <col min="112" max="112" width="14.5703125" bestFit="1" customWidth="1"/>
    <col min="113" max="113" width="5.42578125" bestFit="1" customWidth="1"/>
    <col min="114" max="114" width="5.5703125" bestFit="1" customWidth="1"/>
    <col min="115" max="115" width="12.140625" bestFit="1" customWidth="1"/>
    <col min="116" max="116" width="14.5703125" bestFit="1" customWidth="1"/>
    <col min="117" max="117" width="5.42578125" bestFit="1" customWidth="1"/>
    <col min="118" max="118" width="7.7109375" bestFit="1" customWidth="1"/>
    <col min="119" max="119" width="12.140625" bestFit="1" customWidth="1"/>
    <col min="120" max="120" width="14.5703125" bestFit="1" customWidth="1"/>
    <col min="121" max="121" width="5.42578125" bestFit="1" customWidth="1"/>
    <col min="122" max="122" width="5.5703125" bestFit="1" customWidth="1"/>
    <col min="123" max="123" width="12.140625" bestFit="1" customWidth="1"/>
    <col min="124" max="124" width="14.5703125" bestFit="1" customWidth="1"/>
    <col min="125" max="125" width="5.42578125" bestFit="1" customWidth="1"/>
    <col min="126" max="126" width="5.5703125" bestFit="1" customWidth="1"/>
    <col min="127" max="127" width="12.140625" bestFit="1" customWidth="1"/>
    <col min="128" max="128" width="14.5703125" bestFit="1" customWidth="1"/>
    <col min="129" max="129" width="5.42578125" bestFit="1" customWidth="1"/>
    <col min="130" max="130" width="5.5703125" bestFit="1" customWidth="1"/>
    <col min="131" max="131" width="12.140625" bestFit="1" customWidth="1"/>
    <col min="132" max="132" width="14.5703125" bestFit="1" customWidth="1"/>
    <col min="133" max="133" width="5.42578125" bestFit="1" customWidth="1"/>
    <col min="134" max="134" width="5.5703125" bestFit="1" customWidth="1"/>
    <col min="135" max="135" width="12.140625" bestFit="1" customWidth="1"/>
    <col min="136" max="136" width="14.5703125" bestFit="1" customWidth="1"/>
    <col min="137" max="137" width="5.42578125" bestFit="1" customWidth="1"/>
    <col min="138" max="138" width="5.5703125" bestFit="1" customWidth="1"/>
    <col min="139" max="139" width="12.140625" bestFit="1" customWidth="1"/>
    <col min="140" max="140" width="14.5703125" bestFit="1" customWidth="1"/>
    <col min="141" max="141" width="5.42578125" bestFit="1" customWidth="1"/>
    <col min="142" max="142" width="5.5703125" bestFit="1" customWidth="1"/>
    <col min="143" max="143" width="12.140625" bestFit="1" customWidth="1"/>
    <col min="144" max="144" width="14.5703125" bestFit="1" customWidth="1"/>
    <col min="145" max="145" width="5.42578125" bestFit="1" customWidth="1"/>
    <col min="146" max="146" width="5.5703125" bestFit="1" customWidth="1"/>
    <col min="147" max="147" width="12.140625" bestFit="1" customWidth="1"/>
    <col min="148" max="148" width="14.5703125" bestFit="1" customWidth="1"/>
    <col min="149" max="149" width="5.42578125" bestFit="1" customWidth="1"/>
    <col min="150" max="150" width="5.5703125" bestFit="1" customWidth="1"/>
    <col min="151" max="151" width="12.140625" bestFit="1" customWidth="1"/>
    <col min="152" max="152" width="14.5703125" bestFit="1" customWidth="1"/>
    <col min="153" max="153" width="5.42578125" bestFit="1" customWidth="1"/>
    <col min="154" max="154" width="5.5703125" bestFit="1" customWidth="1"/>
    <col min="155" max="155" width="12.140625" bestFit="1" customWidth="1"/>
    <col min="156" max="156" width="14.5703125" bestFit="1" customWidth="1"/>
    <col min="157" max="157" width="5.42578125" bestFit="1" customWidth="1"/>
    <col min="158" max="158" width="5.5703125" bestFit="1" customWidth="1"/>
    <col min="159" max="159" width="12.140625" bestFit="1" customWidth="1"/>
    <col min="160" max="160" width="14.5703125" bestFit="1" customWidth="1"/>
    <col min="161" max="161" width="5.42578125" bestFit="1" customWidth="1"/>
    <col min="162" max="162" width="5.5703125" bestFit="1" customWidth="1"/>
    <col min="163" max="163" width="12.140625" bestFit="1" customWidth="1"/>
    <col min="164" max="164" width="14.5703125" bestFit="1" customWidth="1"/>
    <col min="165" max="165" width="5.42578125" bestFit="1" customWidth="1"/>
    <col min="166" max="166" width="5.5703125" bestFit="1" customWidth="1"/>
    <col min="167" max="167" width="12.140625" bestFit="1" customWidth="1"/>
    <col min="168" max="168" width="14.5703125" bestFit="1" customWidth="1"/>
    <col min="169" max="169" width="5.42578125" bestFit="1" customWidth="1"/>
    <col min="170" max="170" width="5.5703125" bestFit="1" customWidth="1"/>
    <col min="171" max="171" width="12.140625" bestFit="1" customWidth="1"/>
    <col min="172" max="172" width="14.5703125" bestFit="1" customWidth="1"/>
    <col min="173" max="173" width="5.42578125" bestFit="1" customWidth="1"/>
    <col min="174" max="174" width="5.5703125" bestFit="1" customWidth="1"/>
    <col min="175" max="175" width="12.140625" bestFit="1" customWidth="1"/>
    <col min="176" max="176" width="14.5703125" bestFit="1" customWidth="1"/>
    <col min="177" max="177" width="5.42578125" bestFit="1" customWidth="1"/>
    <col min="178" max="178" width="5.5703125" bestFit="1" customWidth="1"/>
    <col min="179" max="179" width="12.140625" bestFit="1" customWidth="1"/>
    <col min="180" max="180" width="14.5703125" bestFit="1" customWidth="1"/>
    <col min="181" max="181" width="5.42578125" bestFit="1" customWidth="1"/>
    <col min="182" max="182" width="5.5703125" bestFit="1" customWidth="1"/>
    <col min="183" max="183" width="12.140625" bestFit="1" customWidth="1"/>
    <col min="184" max="184" width="14.5703125" bestFit="1" customWidth="1"/>
    <col min="185" max="185" width="5.42578125" bestFit="1" customWidth="1"/>
    <col min="186" max="186" width="5.5703125" bestFit="1" customWidth="1"/>
    <col min="187" max="187" width="12.140625" bestFit="1" customWidth="1"/>
    <col min="188" max="188" width="14.5703125" bestFit="1" customWidth="1"/>
    <col min="189" max="189" width="5.42578125" bestFit="1" customWidth="1"/>
    <col min="190" max="190" width="5.5703125" bestFit="1" customWidth="1"/>
    <col min="191" max="191" width="12.140625" bestFit="1" customWidth="1"/>
    <col min="192" max="192" width="14.5703125" bestFit="1" customWidth="1"/>
    <col min="193" max="193" width="5.42578125" bestFit="1" customWidth="1"/>
    <col min="194" max="194" width="5.5703125" bestFit="1" customWidth="1"/>
    <col min="195" max="195" width="12.140625" bestFit="1" customWidth="1"/>
    <col min="196" max="196" width="14.5703125" bestFit="1" customWidth="1"/>
    <col min="197" max="197" width="5.42578125" bestFit="1" customWidth="1"/>
    <col min="198" max="198" width="5.5703125" bestFit="1" customWidth="1"/>
    <col min="199" max="199" width="12.140625" bestFit="1" customWidth="1"/>
    <col min="200" max="200" width="14.5703125" bestFit="1" customWidth="1"/>
    <col min="201" max="201" width="5.42578125" bestFit="1" customWidth="1"/>
    <col min="202" max="202" width="5.5703125" bestFit="1" customWidth="1"/>
    <col min="203" max="203" width="12.140625" bestFit="1" customWidth="1"/>
    <col min="204" max="204" width="14.5703125" bestFit="1" customWidth="1"/>
    <col min="205" max="205" width="5.42578125" bestFit="1" customWidth="1"/>
    <col min="206" max="206" width="5.5703125" bestFit="1" customWidth="1"/>
    <col min="207" max="207" width="12.140625" bestFit="1" customWidth="1"/>
    <col min="208" max="208" width="14.5703125" bestFit="1" customWidth="1"/>
    <col min="209" max="209" width="5.42578125" bestFit="1" customWidth="1"/>
    <col min="210" max="210" width="6.7109375" bestFit="1" customWidth="1"/>
    <col min="211" max="211" width="12.140625" bestFit="1" customWidth="1"/>
    <col min="212" max="212" width="14.5703125" bestFit="1" customWidth="1"/>
    <col min="213" max="213" width="5.42578125" bestFit="1" customWidth="1"/>
    <col min="214" max="214" width="5.5703125" bestFit="1" customWidth="1"/>
    <col min="215" max="215" width="12.140625" bestFit="1" customWidth="1"/>
    <col min="216" max="216" width="14.5703125" bestFit="1" customWidth="1"/>
    <col min="217" max="217" width="5.42578125" bestFit="1" customWidth="1"/>
    <col min="218" max="218" width="5.5703125" bestFit="1" customWidth="1"/>
    <col min="219" max="219" width="12.140625" bestFit="1" customWidth="1"/>
    <col min="220" max="220" width="14.5703125" bestFit="1" customWidth="1"/>
    <col min="221" max="221" width="5.42578125" bestFit="1" customWidth="1"/>
    <col min="222" max="222" width="5.5703125" bestFit="1" customWidth="1"/>
    <col min="223" max="223" width="12.140625" bestFit="1" customWidth="1"/>
    <col min="224" max="224" width="14.5703125" bestFit="1" customWidth="1"/>
    <col min="225" max="225" width="5.42578125" bestFit="1" customWidth="1"/>
    <col min="226" max="226" width="5.5703125" bestFit="1" customWidth="1"/>
    <col min="227" max="227" width="12.140625" bestFit="1" customWidth="1"/>
    <col min="228" max="228" width="14.5703125" bestFit="1" customWidth="1"/>
    <col min="229" max="229" width="5.42578125" bestFit="1" customWidth="1"/>
    <col min="230" max="230" width="5.5703125" bestFit="1" customWidth="1"/>
    <col min="231" max="231" width="12.140625" bestFit="1" customWidth="1"/>
    <col min="232" max="232" width="14.5703125" bestFit="1" customWidth="1"/>
    <col min="233" max="233" width="5.42578125" bestFit="1" customWidth="1"/>
    <col min="234" max="234" width="5.5703125" bestFit="1" customWidth="1"/>
    <col min="235" max="235" width="12.140625" bestFit="1" customWidth="1"/>
    <col min="236" max="236" width="14.5703125" bestFit="1" customWidth="1"/>
    <col min="237" max="237" width="5.42578125" bestFit="1" customWidth="1"/>
    <col min="238" max="238" width="5.5703125" bestFit="1" customWidth="1"/>
    <col min="239" max="239" width="12.140625" bestFit="1" customWidth="1"/>
    <col min="240" max="240" width="14.5703125" bestFit="1" customWidth="1"/>
    <col min="241" max="241" width="5.42578125" bestFit="1" customWidth="1"/>
    <col min="242" max="242" width="5.5703125" bestFit="1" customWidth="1"/>
    <col min="243" max="243" width="12.140625" bestFit="1" customWidth="1"/>
    <col min="244" max="244" width="14.5703125" bestFit="1" customWidth="1"/>
    <col min="245" max="245" width="5.42578125" bestFit="1" customWidth="1"/>
    <col min="246" max="246" width="5.5703125" bestFit="1" customWidth="1"/>
    <col min="247" max="247" width="12.140625" bestFit="1" customWidth="1"/>
    <col min="248" max="248" width="14.5703125" bestFit="1" customWidth="1"/>
    <col min="249" max="249" width="5.42578125" bestFit="1" customWidth="1"/>
    <col min="250" max="250" width="5.5703125" bestFit="1" customWidth="1"/>
    <col min="251" max="251" width="12.140625" bestFit="1" customWidth="1"/>
    <col min="252" max="252" width="14.5703125" bestFit="1" customWidth="1"/>
    <col min="253" max="253" width="5.42578125" bestFit="1" customWidth="1"/>
    <col min="254" max="254" width="5.5703125" bestFit="1" customWidth="1"/>
    <col min="255" max="255" width="12.140625" bestFit="1" customWidth="1"/>
    <col min="256" max="256" width="14.5703125" bestFit="1" customWidth="1"/>
    <col min="257" max="257" width="5.42578125" bestFit="1" customWidth="1"/>
    <col min="258" max="258" width="5.5703125" bestFit="1" customWidth="1"/>
    <col min="259" max="259" width="12.140625" bestFit="1" customWidth="1"/>
    <col min="260" max="260" width="14.5703125" bestFit="1" customWidth="1"/>
    <col min="261" max="261" width="5.42578125" bestFit="1" customWidth="1"/>
    <col min="262" max="262" width="5.5703125" bestFit="1" customWidth="1"/>
    <col min="263" max="263" width="12.140625" bestFit="1" customWidth="1"/>
    <col min="264" max="264" width="14.5703125" bestFit="1" customWidth="1"/>
    <col min="265" max="265" width="5.42578125" bestFit="1" customWidth="1"/>
    <col min="266" max="266" width="5.5703125" bestFit="1" customWidth="1"/>
    <col min="267" max="267" width="12.140625" bestFit="1" customWidth="1"/>
    <col min="268" max="268" width="14.5703125" bestFit="1" customWidth="1"/>
    <col min="269" max="269" width="5.42578125" bestFit="1" customWidth="1"/>
    <col min="270" max="270" width="5.5703125" bestFit="1" customWidth="1"/>
    <col min="271" max="271" width="12.140625" bestFit="1" customWidth="1"/>
    <col min="272" max="272" width="14.5703125" bestFit="1" customWidth="1"/>
    <col min="273" max="273" width="5.42578125" bestFit="1" customWidth="1"/>
    <col min="274" max="274" width="5.5703125" bestFit="1" customWidth="1"/>
    <col min="275" max="275" width="12.140625" bestFit="1" customWidth="1"/>
    <col min="276" max="276" width="14.5703125" bestFit="1" customWidth="1"/>
    <col min="277" max="277" width="5.42578125" bestFit="1" customWidth="1"/>
    <col min="278" max="278" width="5.5703125" bestFit="1" customWidth="1"/>
    <col min="279" max="279" width="12.140625" bestFit="1" customWidth="1"/>
    <col min="280" max="280" width="14.5703125" bestFit="1" customWidth="1"/>
    <col min="281" max="281" width="5.42578125" bestFit="1" customWidth="1"/>
    <col min="282" max="282" width="5.5703125" bestFit="1" customWidth="1"/>
    <col min="283" max="283" width="12.140625" bestFit="1" customWidth="1"/>
    <col min="284" max="284" width="14.5703125" bestFit="1" customWidth="1"/>
    <col min="285" max="285" width="5.42578125" bestFit="1" customWidth="1"/>
    <col min="286" max="286" width="5.5703125" bestFit="1" customWidth="1"/>
    <col min="287" max="287" width="12.140625" bestFit="1" customWidth="1"/>
    <col min="288" max="288" width="14.5703125" bestFit="1" customWidth="1"/>
    <col min="289" max="289" width="5.42578125" bestFit="1" customWidth="1"/>
    <col min="290" max="290" width="5.5703125" bestFit="1" customWidth="1"/>
    <col min="291" max="291" width="12.140625" bestFit="1" customWidth="1"/>
    <col min="292" max="292" width="14.5703125" bestFit="1" customWidth="1"/>
    <col min="293" max="293" width="5.42578125" bestFit="1" customWidth="1"/>
    <col min="294" max="294" width="5.5703125" bestFit="1" customWidth="1"/>
    <col min="295" max="295" width="12.140625" bestFit="1" customWidth="1"/>
    <col min="296" max="296" width="14.5703125" bestFit="1" customWidth="1"/>
    <col min="297" max="297" width="5.42578125" bestFit="1" customWidth="1"/>
    <col min="298" max="298" width="5.5703125" bestFit="1" customWidth="1"/>
    <col min="299" max="299" width="12.140625" bestFit="1" customWidth="1"/>
    <col min="300" max="300" width="14.5703125" bestFit="1" customWidth="1"/>
    <col min="301" max="301" width="5.42578125" bestFit="1" customWidth="1"/>
    <col min="302" max="302" width="5.5703125" bestFit="1" customWidth="1"/>
    <col min="303" max="303" width="12.140625" bestFit="1" customWidth="1"/>
    <col min="304" max="304" width="14.5703125" bestFit="1" customWidth="1"/>
    <col min="305" max="305" width="5.42578125" bestFit="1" customWidth="1"/>
    <col min="306" max="306" width="5.5703125" bestFit="1" customWidth="1"/>
    <col min="307" max="307" width="12.140625" bestFit="1" customWidth="1"/>
    <col min="308" max="308" width="14.5703125" bestFit="1" customWidth="1"/>
    <col min="309" max="309" width="5.42578125" bestFit="1" customWidth="1"/>
    <col min="310" max="310" width="5.5703125" bestFit="1" customWidth="1"/>
    <col min="311" max="311" width="12.140625" bestFit="1" customWidth="1"/>
    <col min="312" max="312" width="14.5703125" bestFit="1" customWidth="1"/>
    <col min="313" max="313" width="5.42578125" bestFit="1" customWidth="1"/>
    <col min="314" max="314" width="5.5703125" bestFit="1" customWidth="1"/>
    <col min="315" max="315" width="12.140625" bestFit="1" customWidth="1"/>
    <col min="316" max="316" width="14.5703125" bestFit="1" customWidth="1"/>
    <col min="317" max="317" width="5.42578125" bestFit="1" customWidth="1"/>
    <col min="318" max="318" width="5.5703125" bestFit="1" customWidth="1"/>
    <col min="319" max="319" width="12.140625" bestFit="1" customWidth="1"/>
    <col min="320" max="320" width="14.5703125" bestFit="1" customWidth="1"/>
    <col min="321" max="321" width="5.42578125" bestFit="1" customWidth="1"/>
    <col min="322" max="322" width="5.5703125" bestFit="1" customWidth="1"/>
    <col min="323" max="323" width="12.140625" bestFit="1" customWidth="1"/>
    <col min="324" max="324" width="14.5703125" bestFit="1" customWidth="1"/>
    <col min="325" max="325" width="5.42578125" bestFit="1" customWidth="1"/>
    <col min="326" max="326" width="5.5703125" bestFit="1" customWidth="1"/>
    <col min="327" max="327" width="12.140625" bestFit="1" customWidth="1"/>
    <col min="328" max="328" width="14.5703125" bestFit="1" customWidth="1"/>
    <col min="329" max="329" width="5.42578125" bestFit="1" customWidth="1"/>
    <col min="330" max="330" width="5.5703125" bestFit="1" customWidth="1"/>
    <col min="331" max="331" width="12.140625" bestFit="1" customWidth="1"/>
    <col min="332" max="332" width="14.5703125" bestFit="1" customWidth="1"/>
    <col min="333" max="333" width="5.42578125" bestFit="1" customWidth="1"/>
    <col min="334" max="334" width="5.5703125" bestFit="1" customWidth="1"/>
    <col min="335" max="335" width="12.140625" bestFit="1" customWidth="1"/>
    <col min="336" max="336" width="14.5703125" bestFit="1" customWidth="1"/>
    <col min="337" max="337" width="5.42578125" bestFit="1" customWidth="1"/>
    <col min="338" max="338" width="5.5703125" bestFit="1" customWidth="1"/>
    <col min="339" max="339" width="12.140625" bestFit="1" customWidth="1"/>
    <col min="340" max="340" width="14.5703125" bestFit="1" customWidth="1"/>
    <col min="341" max="341" width="5.42578125" bestFit="1" customWidth="1"/>
    <col min="342" max="342" width="5.5703125" bestFit="1" customWidth="1"/>
    <col min="343" max="343" width="12.140625" bestFit="1" customWidth="1"/>
    <col min="344" max="344" width="14.5703125" bestFit="1" customWidth="1"/>
    <col min="345" max="345" width="5.42578125" bestFit="1" customWidth="1"/>
    <col min="346" max="346" width="5.5703125" bestFit="1" customWidth="1"/>
    <col min="347" max="347" width="12.140625" bestFit="1" customWidth="1"/>
    <col min="348" max="348" width="14.5703125" bestFit="1" customWidth="1"/>
    <col min="349" max="349" width="5.42578125" bestFit="1" customWidth="1"/>
    <col min="350" max="350" width="5.5703125" bestFit="1" customWidth="1"/>
    <col min="351" max="351" width="12.140625" bestFit="1" customWidth="1"/>
    <col min="352" max="352" width="14.5703125" bestFit="1" customWidth="1"/>
    <col min="353" max="353" width="5.42578125" bestFit="1" customWidth="1"/>
    <col min="354" max="354" width="5.5703125" bestFit="1" customWidth="1"/>
    <col min="355" max="355" width="12.140625" bestFit="1" customWidth="1"/>
    <col min="356" max="356" width="14.5703125" bestFit="1" customWidth="1"/>
    <col min="357" max="357" width="5.42578125" bestFit="1" customWidth="1"/>
    <col min="358" max="358" width="5.5703125" bestFit="1" customWidth="1"/>
    <col min="359" max="359" width="12.140625" bestFit="1" customWidth="1"/>
    <col min="360" max="360" width="14.5703125" bestFit="1" customWidth="1"/>
    <col min="361" max="361" width="5.42578125" bestFit="1" customWidth="1"/>
    <col min="362" max="362" width="5.5703125" bestFit="1" customWidth="1"/>
    <col min="363" max="363" width="12.140625" bestFit="1" customWidth="1"/>
    <col min="364" max="364" width="14.5703125" bestFit="1" customWidth="1"/>
    <col min="365" max="365" width="5.42578125" bestFit="1" customWidth="1"/>
    <col min="366" max="366" width="5.5703125" bestFit="1" customWidth="1"/>
    <col min="367" max="367" width="12.140625" bestFit="1" customWidth="1"/>
    <col min="368" max="368" width="14.5703125" bestFit="1" customWidth="1"/>
    <col min="369" max="369" width="5.42578125" bestFit="1" customWidth="1"/>
    <col min="370" max="370" width="5.5703125" bestFit="1" customWidth="1"/>
    <col min="371" max="371" width="12.140625" bestFit="1" customWidth="1"/>
    <col min="372" max="372" width="14.5703125" bestFit="1" customWidth="1"/>
    <col min="373" max="373" width="5.42578125" bestFit="1" customWidth="1"/>
    <col min="374" max="374" width="5.5703125" bestFit="1" customWidth="1"/>
    <col min="375" max="375" width="12.140625" bestFit="1" customWidth="1"/>
    <col min="376" max="376" width="14.5703125" bestFit="1" customWidth="1"/>
    <col min="377" max="377" width="5.42578125" bestFit="1" customWidth="1"/>
    <col min="378" max="378" width="5.5703125" bestFit="1" customWidth="1"/>
    <col min="379" max="379" width="12.140625" bestFit="1" customWidth="1"/>
    <col min="380" max="380" width="14.5703125" bestFit="1" customWidth="1"/>
    <col min="381" max="381" width="5.42578125" bestFit="1" customWidth="1"/>
    <col min="382" max="382" width="5.5703125" bestFit="1" customWidth="1"/>
    <col min="383" max="383" width="12.140625" bestFit="1" customWidth="1"/>
    <col min="384" max="384" width="14.5703125" bestFit="1" customWidth="1"/>
    <col min="385" max="385" width="5.42578125" bestFit="1" customWidth="1"/>
    <col min="386" max="386" width="5.5703125" bestFit="1" customWidth="1"/>
    <col min="387" max="387" width="12.140625" bestFit="1" customWidth="1"/>
    <col min="388" max="388" width="14.5703125" bestFit="1" customWidth="1"/>
    <col min="389" max="389" width="5.42578125" bestFit="1" customWidth="1"/>
    <col min="390" max="390" width="5.5703125" bestFit="1" customWidth="1"/>
    <col min="391" max="391" width="12.140625" bestFit="1" customWidth="1"/>
    <col min="392" max="392" width="14.5703125" bestFit="1" customWidth="1"/>
    <col min="393" max="393" width="5.42578125" bestFit="1" customWidth="1"/>
    <col min="394" max="394" width="5.5703125" bestFit="1" customWidth="1"/>
    <col min="395" max="395" width="12.140625" bestFit="1" customWidth="1"/>
    <col min="396" max="396" width="14.5703125" bestFit="1" customWidth="1"/>
    <col min="397" max="397" width="5.42578125" bestFit="1" customWidth="1"/>
    <col min="398" max="398" width="5.5703125" bestFit="1" customWidth="1"/>
    <col min="399" max="399" width="12.140625" bestFit="1" customWidth="1"/>
    <col min="400" max="400" width="14.5703125" bestFit="1" customWidth="1"/>
    <col min="401" max="401" width="5.42578125" bestFit="1" customWidth="1"/>
    <col min="402" max="402" width="5.5703125" bestFit="1" customWidth="1"/>
    <col min="403" max="403" width="12.140625" bestFit="1" customWidth="1"/>
    <col min="404" max="404" width="14.5703125" bestFit="1" customWidth="1"/>
    <col min="405" max="405" width="5.42578125" bestFit="1" customWidth="1"/>
    <col min="406" max="406" width="5.5703125" bestFit="1" customWidth="1"/>
    <col min="407" max="407" width="12.140625" bestFit="1" customWidth="1"/>
    <col min="408" max="408" width="14.5703125" bestFit="1" customWidth="1"/>
    <col min="409" max="409" width="5.42578125" bestFit="1" customWidth="1"/>
    <col min="410" max="410" width="5.5703125" bestFit="1" customWidth="1"/>
    <col min="411" max="411" width="12.140625" bestFit="1" customWidth="1"/>
    <col min="412" max="412" width="14.5703125" bestFit="1" customWidth="1"/>
    <col min="413" max="413" width="5.42578125" bestFit="1" customWidth="1"/>
    <col min="414" max="414" width="5.5703125" bestFit="1" customWidth="1"/>
    <col min="415" max="415" width="12.140625" bestFit="1" customWidth="1"/>
    <col min="416" max="416" width="14.5703125" bestFit="1" customWidth="1"/>
    <col min="417" max="417" width="5.42578125" bestFit="1" customWidth="1"/>
    <col min="418" max="418" width="5.5703125" bestFit="1" customWidth="1"/>
    <col min="419" max="419" width="17.28515625" bestFit="1" customWidth="1"/>
    <col min="420" max="420" width="19.5703125" bestFit="1" customWidth="1"/>
    <col min="421" max="421" width="10.28515625" bestFit="1" customWidth="1"/>
    <col min="422" max="422" width="10.42578125" bestFit="1" customWidth="1"/>
  </cols>
  <sheetData>
    <row r="2" spans="2:13" x14ac:dyDescent="0.25">
      <c r="C2" t="str">
        <f>"Last update: "&amp;TEXT(QUOTE_TIME,"m/d/yyyy h:mm:ss AM/PM")</f>
        <v>Last update: 8/22/2021 1:28:03 PM</v>
      </c>
      <c r="G2" s="12" t="s">
        <v>55</v>
      </c>
      <c r="H2" s="12"/>
      <c r="I2" s="12"/>
      <c r="J2" s="12"/>
      <c r="K2" s="12"/>
      <c r="L2" s="12"/>
      <c r="M2" s="12"/>
    </row>
    <row r="3" spans="2:13" x14ac:dyDescent="0.25">
      <c r="C3" s="18"/>
      <c r="G3" s="12" t="s">
        <v>56</v>
      </c>
      <c r="H3" s="12"/>
      <c r="I3" s="12"/>
      <c r="J3" s="12"/>
      <c r="K3" s="12"/>
      <c r="L3" s="12"/>
      <c r="M3" s="12"/>
    </row>
    <row r="5" spans="2:13" ht="30" x14ac:dyDescent="0.25">
      <c r="B5" s="6" t="s">
        <v>8</v>
      </c>
      <c r="C5" s="9" t="s">
        <v>12</v>
      </c>
      <c r="D5" s="9" t="s">
        <v>42</v>
      </c>
      <c r="E5" s="9" t="s">
        <v>43</v>
      </c>
      <c r="F5" s="9" t="s">
        <v>19</v>
      </c>
      <c r="G5" s="9" t="s">
        <v>44</v>
      </c>
      <c r="H5" s="9" t="s">
        <v>9</v>
      </c>
      <c r="I5" s="9" t="s">
        <v>10</v>
      </c>
      <c r="J5" s="9" t="s">
        <v>16</v>
      </c>
      <c r="K5" s="9" t="s">
        <v>20</v>
      </c>
      <c r="L5" s="9" t="s">
        <v>58</v>
      </c>
      <c r="M5" s="9" t="s">
        <v>57</v>
      </c>
    </row>
    <row r="6" spans="2:13" x14ac:dyDescent="0.25">
      <c r="B6" s="4" t="s">
        <v>13</v>
      </c>
      <c r="C6" s="14">
        <v>3</v>
      </c>
      <c r="D6" s="15">
        <v>1.14224589928631</v>
      </c>
      <c r="E6" s="15">
        <v>1</v>
      </c>
      <c r="F6" s="2">
        <v>3</v>
      </c>
      <c r="G6" s="2">
        <v>3.4267376978589299</v>
      </c>
      <c r="H6" s="2">
        <v>0.4267376978589299</v>
      </c>
      <c r="I6" s="11">
        <v>0.14224589928630996</v>
      </c>
      <c r="J6" s="2">
        <v>3</v>
      </c>
      <c r="K6" s="2">
        <v>0</v>
      </c>
      <c r="L6" s="2">
        <v>0</v>
      </c>
      <c r="M6" s="2">
        <v>0</v>
      </c>
    </row>
    <row r="7" spans="2:13" x14ac:dyDescent="0.25">
      <c r="B7" s="4" t="s">
        <v>2</v>
      </c>
      <c r="C7" s="14">
        <v>1.6005</v>
      </c>
      <c r="D7" s="15">
        <v>48631.315181913669</v>
      </c>
      <c r="E7" s="15">
        <v>489.42830365510781</v>
      </c>
      <c r="F7" s="2">
        <v>783.33</v>
      </c>
      <c r="G7" s="2">
        <v>77834.419948652823</v>
      </c>
      <c r="H7" s="2">
        <v>77051.089948652821</v>
      </c>
      <c r="I7" s="11">
        <v>98.363512119608359</v>
      </c>
      <c r="J7" s="2">
        <v>0</v>
      </c>
      <c r="K7" s="2">
        <v>21</v>
      </c>
      <c r="L7" s="2">
        <v>183.33333333333334</v>
      </c>
      <c r="M7" s="2">
        <v>400</v>
      </c>
    </row>
    <row r="8" spans="2:13" x14ac:dyDescent="0.25">
      <c r="B8" s="4" t="s">
        <v>4</v>
      </c>
      <c r="C8" s="14">
        <v>1</v>
      </c>
      <c r="D8" s="15">
        <v>3180.7140114608969</v>
      </c>
      <c r="E8" s="15">
        <v>200</v>
      </c>
      <c r="F8" s="2">
        <v>200</v>
      </c>
      <c r="G8" s="2">
        <v>3180.7140114608969</v>
      </c>
      <c r="H8" s="2">
        <v>2980.7140114608969</v>
      </c>
      <c r="I8" s="11">
        <v>14.903570057304485</v>
      </c>
      <c r="J8" s="2">
        <v>0</v>
      </c>
      <c r="K8" s="2">
        <v>0</v>
      </c>
      <c r="L8" s="2">
        <v>0</v>
      </c>
      <c r="M8" s="2">
        <v>0</v>
      </c>
    </row>
    <row r="9" spans="2:13" x14ac:dyDescent="0.25">
      <c r="B9" s="4" t="s">
        <v>59</v>
      </c>
      <c r="C9" s="14">
        <v>100</v>
      </c>
      <c r="D9" s="15">
        <v>1.2080002044931299</v>
      </c>
      <c r="E9" s="15">
        <v>1</v>
      </c>
      <c r="F9" s="2">
        <v>100</v>
      </c>
      <c r="G9" s="2">
        <v>120.800020449313</v>
      </c>
      <c r="H9" s="2">
        <v>20.800020449312996</v>
      </c>
      <c r="I9" s="11">
        <v>0.20800020449312995</v>
      </c>
      <c r="J9" s="2">
        <v>0</v>
      </c>
      <c r="K9" s="2">
        <v>0</v>
      </c>
      <c r="L9" s="2">
        <v>0</v>
      </c>
      <c r="M9" s="2">
        <v>0</v>
      </c>
    </row>
    <row r="16" spans="2:13" x14ac:dyDescent="0.25">
      <c r="B16" s="4"/>
      <c r="C16" s="14"/>
      <c r="D16" s="15"/>
      <c r="E16" s="15"/>
      <c r="F16" s="2"/>
      <c r="G16" s="2"/>
      <c r="H16" s="2"/>
      <c r="I16" s="11"/>
      <c r="J16" s="2"/>
      <c r="K16" s="2"/>
      <c r="L16" s="2"/>
      <c r="M16" s="2"/>
    </row>
    <row r="17" spans="2:13" x14ac:dyDescent="0.25">
      <c r="B17" s="4"/>
      <c r="C17" s="14"/>
      <c r="D17" s="15"/>
      <c r="E17" s="15"/>
      <c r="F17" s="2"/>
      <c r="G17" s="2"/>
      <c r="H17" s="2"/>
      <c r="I17" s="11"/>
      <c r="J17" s="2"/>
      <c r="K17" s="2"/>
      <c r="L17" s="2"/>
      <c r="M17" s="2"/>
    </row>
    <row r="18" spans="2:13" ht="15.75" thickBot="1" x14ac:dyDescent="0.3">
      <c r="F18" s="16">
        <f ca="1">SUM(F1:OFFSET(F18,-1,0))</f>
        <v>1086.33</v>
      </c>
      <c r="G18" s="16">
        <f ca="1">SUM(G1:OFFSET(G18,-1,0))</f>
        <v>81139.360718260883</v>
      </c>
      <c r="H18" s="16">
        <f ca="1">SUM(H1:OFFSET(H18,-1,0))</f>
        <v>80053.030718260881</v>
      </c>
      <c r="I18" s="17">
        <f ca="1">+H18/F18</f>
        <v>73.69126390531504</v>
      </c>
      <c r="J18" s="16">
        <f ca="1">SUM(J1:OFFSET(J18,-1,0))</f>
        <v>3</v>
      </c>
      <c r="K18" s="16">
        <f ca="1">SUM(K1:OFFSET(K18,-1,0))</f>
        <v>21</v>
      </c>
      <c r="L18" s="16">
        <f ca="1">SUM(L1:OFFSET(L18,-1,0))</f>
        <v>183.33333333333334</v>
      </c>
      <c r="M18" s="16">
        <f ca="1">SUM(M1:OFFSET(M18,-1,0))</f>
        <v>400</v>
      </c>
    </row>
    <row r="19" spans="2:13" ht="15.75" thickTop="1" x14ac:dyDescent="0.25"/>
  </sheetData>
  <pageMargins left="0.7" right="0.7" top="0.75" bottom="0.75" header="0.3" footer="0.3"/>
  <ignoredErrors>
    <ignoredError sqref="I1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RefreshTables">
                <anchor moveWithCells="1" sizeWithCells="1">
                  <from>
                    <xdr:col>1</xdr:col>
                    <xdr:colOff>38100</xdr:colOff>
                    <xdr:row>1</xdr:row>
                    <xdr:rowOff>19050</xdr:rowOff>
                  </from>
                  <to>
                    <xdr:col>1</xdr:col>
                    <xdr:colOff>942975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ECBC-B344-4F73-9BB8-4C15D2699CAB}">
  <sheetPr codeName="Sheet6"/>
  <dimension ref="B2:F12"/>
  <sheetViews>
    <sheetView workbookViewId="0">
      <selection activeCell="E16" sqref="E16"/>
    </sheetView>
  </sheetViews>
  <sheetFormatPr defaultRowHeight="15" x14ac:dyDescent="0.25"/>
  <cols>
    <col min="1" max="1" width="3.42578125" customWidth="1"/>
    <col min="2" max="2" width="15.42578125" bestFit="1" customWidth="1"/>
    <col min="3" max="6" width="10" customWidth="1"/>
  </cols>
  <sheetData>
    <row r="2" spans="2:6" x14ac:dyDescent="0.25">
      <c r="C2" t="str">
        <f>"Last update: "&amp;TEXT(QUOTE_TIME,"m/d/yyyy h:mm:ss AM/PM")</f>
        <v>Last update: 8/22/2021 1:28:03 PM</v>
      </c>
    </row>
    <row r="3" spans="2:6" x14ac:dyDescent="0.25">
      <c r="C3" s="19"/>
    </row>
    <row r="5" spans="2:6" ht="30" x14ac:dyDescent="0.25">
      <c r="B5" s="10" t="s">
        <v>8</v>
      </c>
      <c r="C5" s="9" t="s">
        <v>16</v>
      </c>
      <c r="D5" s="9" t="s">
        <v>20</v>
      </c>
      <c r="E5" s="9" t="s">
        <v>58</v>
      </c>
      <c r="F5" s="9" t="s">
        <v>57</v>
      </c>
    </row>
    <row r="6" spans="2:6" x14ac:dyDescent="0.25">
      <c r="B6" s="4" t="s">
        <v>60</v>
      </c>
      <c r="C6" s="2">
        <v>0</v>
      </c>
      <c r="D6" s="2">
        <v>0</v>
      </c>
      <c r="E6" s="2">
        <v>50</v>
      </c>
      <c r="F6" s="2">
        <v>0</v>
      </c>
    </row>
    <row r="7" spans="2:6" x14ac:dyDescent="0.25">
      <c r="B7" s="4" t="s">
        <v>61</v>
      </c>
      <c r="C7" s="2">
        <v>0</v>
      </c>
      <c r="D7" s="2">
        <v>0</v>
      </c>
      <c r="E7" s="2">
        <v>50</v>
      </c>
      <c r="F7" s="2">
        <v>0</v>
      </c>
    </row>
    <row r="8" spans="2:6" x14ac:dyDescent="0.25">
      <c r="B8" s="4" t="s">
        <v>62</v>
      </c>
      <c r="C8" s="2">
        <v>0</v>
      </c>
      <c r="D8" s="2">
        <v>0</v>
      </c>
      <c r="E8" s="2">
        <v>0</v>
      </c>
      <c r="F8" s="2">
        <v>200</v>
      </c>
    </row>
    <row r="9" spans="2:6" x14ac:dyDescent="0.25">
      <c r="B9" s="4" t="s">
        <v>63</v>
      </c>
      <c r="C9" s="2">
        <v>0</v>
      </c>
      <c r="D9" s="2">
        <v>0</v>
      </c>
      <c r="E9" s="2">
        <v>0</v>
      </c>
      <c r="F9" s="2">
        <v>0</v>
      </c>
    </row>
    <row r="10" spans="2:6" x14ac:dyDescent="0.25">
      <c r="B10" s="4" t="s">
        <v>64</v>
      </c>
      <c r="C10" s="2">
        <v>0</v>
      </c>
      <c r="D10" s="2">
        <v>0</v>
      </c>
      <c r="E10" s="2">
        <v>83.333333333333343</v>
      </c>
      <c r="F10" s="2">
        <v>200</v>
      </c>
    </row>
    <row r="11" spans="2:6" x14ac:dyDescent="0.25">
      <c r="B11" s="4" t="s">
        <v>65</v>
      </c>
      <c r="C11" s="2">
        <v>0</v>
      </c>
      <c r="D11" s="2">
        <v>0</v>
      </c>
      <c r="E11" s="2">
        <v>0</v>
      </c>
      <c r="F11" s="2">
        <v>0</v>
      </c>
    </row>
    <row r="12" spans="2:6" x14ac:dyDescent="0.25">
      <c r="B12" s="4" t="s">
        <v>21</v>
      </c>
      <c r="C12" s="2">
        <v>3</v>
      </c>
      <c r="D12" s="2">
        <v>21</v>
      </c>
      <c r="E12" s="2">
        <v>0</v>
      </c>
      <c r="F12" s="2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hisWorkbook.RefreshTables">
                <anchor moveWithCells="1" sizeWithCells="1">
                  <from>
                    <xdr:col>1</xdr:col>
                    <xdr:colOff>38100</xdr:colOff>
                    <xdr:row>1</xdr:row>
                    <xdr:rowOff>19050</xdr:rowOff>
                  </from>
                  <to>
                    <xdr:col>1</xdr:col>
                    <xdr:colOff>981075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W16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S28" sqref="S28"/>
    </sheetView>
  </sheetViews>
  <sheetFormatPr defaultRowHeight="15" outlineLevelCol="1" x14ac:dyDescent="0.25"/>
  <cols>
    <col min="1" max="1" width="4" customWidth="1"/>
    <col min="2" max="2" width="13.7109375" customWidth="1"/>
    <col min="3" max="4" width="12" customWidth="1"/>
    <col min="5" max="5" width="8" customWidth="1"/>
    <col min="6" max="6" width="19" bestFit="1" customWidth="1"/>
    <col min="7" max="7" width="16.140625" bestFit="1" customWidth="1"/>
    <col min="8" max="8" width="15.140625" customWidth="1"/>
    <col min="9" max="9" width="10" hidden="1" customWidth="1" outlineLevel="1"/>
    <col min="10" max="10" width="19.28515625" hidden="1" customWidth="1" outlineLevel="1"/>
    <col min="11" max="11" width="11.42578125" hidden="1" customWidth="1" outlineLevel="1"/>
    <col min="12" max="12" width="19" hidden="1" customWidth="1" outlineLevel="1"/>
    <col min="13" max="13" width="11.42578125" hidden="1" customWidth="1" outlineLevel="1"/>
    <col min="14" max="14" width="10.28515625" hidden="1" customWidth="1" outlineLevel="1"/>
    <col min="15" max="15" width="19" hidden="1" customWidth="1" outlineLevel="1"/>
    <col min="16" max="16" width="11.28515625" hidden="1" customWidth="1" outlineLevel="1"/>
    <col min="17" max="18" width="19" hidden="1" customWidth="1" outlineLevel="1"/>
    <col min="19" max="19" width="9.140625" collapsed="1"/>
    <col min="20" max="20" width="9.5703125" customWidth="1"/>
    <col min="22" max="22" width="9.5703125" customWidth="1"/>
    <col min="23" max="25" width="61.5703125" bestFit="1" customWidth="1"/>
    <col min="27" max="27" width="61.5703125" bestFit="1" customWidth="1"/>
    <col min="28" max="28" width="62" customWidth="1"/>
  </cols>
  <sheetData>
    <row r="1" spans="2:23" x14ac:dyDescent="0.25">
      <c r="F1" s="21" t="s">
        <v>33</v>
      </c>
      <c r="G1" s="21"/>
    </row>
    <row r="2" spans="2:23" ht="30" x14ac:dyDescent="0.25">
      <c r="B2" s="9" t="s">
        <v>7</v>
      </c>
      <c r="C2" s="9" t="s">
        <v>6</v>
      </c>
      <c r="D2" s="9" t="s">
        <v>24</v>
      </c>
      <c r="E2" s="9" t="s">
        <v>0</v>
      </c>
      <c r="F2" s="9" t="s">
        <v>5</v>
      </c>
      <c r="G2" s="9" t="s">
        <v>11</v>
      </c>
      <c r="H2" s="9" t="s">
        <v>17</v>
      </c>
      <c r="I2" s="9" t="s">
        <v>18</v>
      </c>
      <c r="J2" s="9" t="s">
        <v>29</v>
      </c>
      <c r="K2" s="9" t="s">
        <v>25</v>
      </c>
      <c r="L2" s="9" t="s">
        <v>30</v>
      </c>
      <c r="M2" s="9" t="s">
        <v>28</v>
      </c>
      <c r="N2" s="9" t="s">
        <v>27</v>
      </c>
      <c r="O2" s="9" t="s">
        <v>31</v>
      </c>
      <c r="P2" s="9" t="s">
        <v>26</v>
      </c>
      <c r="Q2" s="9" t="s">
        <v>32</v>
      </c>
      <c r="R2" s="9" t="s">
        <v>47</v>
      </c>
      <c r="S2" s="9" t="s">
        <v>16</v>
      </c>
      <c r="T2" s="9" t="s">
        <v>20</v>
      </c>
      <c r="U2" s="9" t="s">
        <v>57</v>
      </c>
      <c r="V2" s="9" t="s">
        <v>58</v>
      </c>
      <c r="W2" s="9" t="s">
        <v>14</v>
      </c>
    </row>
    <row r="3" spans="2:23" x14ac:dyDescent="0.25">
      <c r="B3" s="3">
        <v>36892</v>
      </c>
      <c r="C3" t="s">
        <v>1</v>
      </c>
      <c r="D3" t="s">
        <v>23</v>
      </c>
      <c r="E3" t="s">
        <v>2</v>
      </c>
      <c r="F3" s="5">
        <v>1</v>
      </c>
      <c r="G3" s="1">
        <v>100</v>
      </c>
      <c r="H3" s="1">
        <f>IFERROR(tblTransactions[[#This Row],[USD]]/tblTransactions[[#This Row],[Quantity]],0)</f>
        <v>100</v>
      </c>
      <c r="I3" s="1">
        <f>IF(tblTransactions[[#This Row],[Type]]&lt;&gt;"Transfer",ROUND(tblTransactions[[#This Row],[USD]]-tblTransactions[[#This Row],[Nontax Income]]+tblTransactions[[#This Row],[ST Cap Gain]]+tblTransactions[[#This Row],[LT Cap Gain]],2),0)</f>
        <v>100</v>
      </c>
      <c r="J3" s="5">
        <f>SUMIFS($F$2:tblTransactions[[#This Row],[Quantity]],$E$2:tblTransactions[[#This Row],[Asset]],tblTransactions[[#This Row],[Asset]])</f>
        <v>1</v>
      </c>
      <c r="K3" s="8">
        <f>SUMIFS($I$2:tblTransactions[[#This Row],[Basis]],$E$2:tblTransactions[[#This Row],[Asset]],tblTransactions[[#This Row],[Asset]])</f>
        <v>100</v>
      </c>
      <c r="L3" s="5">
        <f ca="1">SUMIFS($F$2:OFFSET(tblTransactions[[#This Row],[Quantity]],-1,0),$E$2:OFFSET(tblTransactions[[#This Row],[Asset]],-1,0),tblTransactions[[#This Row],[Asset]])</f>
        <v>0</v>
      </c>
      <c r="M3" s="7">
        <f ca="1">SUMIFS($I$2:OFFSET(tblTransactions[[#This Row],[Basis]],-1,0),$E$2:OFFSET(tblTransactions[[#This Row],[Asset]],-1,0),tblTransactions[[#This Row],[Asset]])</f>
        <v>0</v>
      </c>
      <c r="N3" s="1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3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3" s="1">
        <f ca="1">tblTransactions[[#This Row],[Prior Basis]]-tblTransactions[[#This Row],[Prior LT Basis]]</f>
        <v>0</v>
      </c>
      <c r="Q3" s="5">
        <f ca="1">tblTransactions[[#This Row],[Prior Qty]]-tblTransactions[[#This Row],[Prior LT Qty]]</f>
        <v>0</v>
      </c>
      <c r="R3" s="5" t="str">
        <f>VLOOKUP(tblTransactions[[#This Row],[Type]],tblTransactionTypes[],3,FALSE)</f>
        <v>N/A</v>
      </c>
      <c r="S3" s="1">
        <f>IF(tblTransactions[[#This Row],[Tax Treatment]]="Taxable Income",tblTransactions[[#This Row],[USD]],0)</f>
        <v>0</v>
      </c>
      <c r="T3" s="1">
        <f>IF(tblTransactions[[#This Row],[Tax Treatment]]="Nontaxable Income",tblTransactions[[#This Row],[USD]],0)</f>
        <v>0</v>
      </c>
      <c r="U3" s="1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3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4" spans="2:23" x14ac:dyDescent="0.25">
      <c r="B4" s="3">
        <v>36921</v>
      </c>
      <c r="C4" t="s">
        <v>15</v>
      </c>
      <c r="D4" t="s">
        <v>23</v>
      </c>
      <c r="E4" t="s">
        <v>2</v>
      </c>
      <c r="F4" s="5">
        <v>-1</v>
      </c>
      <c r="G4" s="1">
        <v>-150</v>
      </c>
      <c r="H4" s="8">
        <f>IFERROR(tblTransactions[[#This Row],[USD]]/tblTransactions[[#This Row],[Quantity]],0)</f>
        <v>150</v>
      </c>
      <c r="I4" s="8">
        <f ca="1">IF(tblTransactions[[#This Row],[Type]]&lt;&gt;"Transfer",ROUND(tblTransactions[[#This Row],[USD]]-tblTransactions[[#This Row],[Nontax Income]]+tblTransactions[[#This Row],[ST Cap Gain]]+tblTransactions[[#This Row],[LT Cap Gain]],2),0)</f>
        <v>-100</v>
      </c>
      <c r="J4" s="5">
        <f>SUMIFS($F$2:tblTransactions[[#This Row],[Quantity]],$E$2:tblTransactions[[#This Row],[Asset]],tblTransactions[[#This Row],[Asset]])</f>
        <v>0</v>
      </c>
      <c r="K4" s="8">
        <f ca="1">SUMIFS($I$2:tblTransactions[[#This Row],[Basis]],$E$2:tblTransactions[[#This Row],[Asset]],tblTransactions[[#This Row],[Asset]])</f>
        <v>0</v>
      </c>
      <c r="L4" s="5">
        <f ca="1">SUMIFS($F$2:OFFSET(tblTransactions[[#This Row],[Quantity]],-1,0),$E$2:OFFSET(tblTransactions[[#This Row],[Asset]],-1,0),tblTransactions[[#This Row],[Asset]])</f>
        <v>1</v>
      </c>
      <c r="M4" s="8">
        <f ca="1">SUMIFS($I$2:OFFSET(tblTransactions[[#This Row],[Basis]],-1,0),$E$2:OFFSET(tblTransactions[[#This Row],[Asset]],-1,0),tblTransactions[[#This Row],[Asset]])</f>
        <v>100</v>
      </c>
      <c r="N4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4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4" s="8">
        <f ca="1">tblTransactions[[#This Row],[Prior Basis]]-tblTransactions[[#This Row],[Prior LT Basis]]</f>
        <v>100</v>
      </c>
      <c r="Q4" s="5">
        <f ca="1">tblTransactions[[#This Row],[Prior Qty]]-tblTransactions[[#This Row],[Prior LT Qty]]</f>
        <v>1</v>
      </c>
      <c r="R4" s="5" t="str">
        <f>VLOOKUP(tblTransactions[[#This Row],[Type]],tblTransactionTypes[],3,FALSE)</f>
        <v>Capital</v>
      </c>
      <c r="S4" s="8">
        <f>IF(tblTransactions[[#This Row],[Tax Treatment]]="Taxable Income",tblTransactions[[#This Row],[USD]],0)</f>
        <v>0</v>
      </c>
      <c r="T4" s="8">
        <f>IF(tblTransactions[[#This Row],[Tax Treatment]]="Nontaxable Income",tblTransactions[[#This Row],[USD]],0)</f>
        <v>0</v>
      </c>
      <c r="U4" s="8">
        <f ca="1"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4" s="8">
        <f ca="1"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50</v>
      </c>
    </row>
    <row r="5" spans="2:23" x14ac:dyDescent="0.25">
      <c r="B5" s="3">
        <v>37257</v>
      </c>
      <c r="C5" t="s">
        <v>1</v>
      </c>
      <c r="D5" t="s">
        <v>23</v>
      </c>
      <c r="E5" t="s">
        <v>2</v>
      </c>
      <c r="F5" s="5">
        <v>2</v>
      </c>
      <c r="G5" s="1">
        <v>200</v>
      </c>
      <c r="H5" s="8">
        <f>IFERROR(tblTransactions[[#This Row],[USD]]/tblTransactions[[#This Row],[Quantity]],0)</f>
        <v>100</v>
      </c>
      <c r="I5" s="8">
        <f>IF(tblTransactions[[#This Row],[Type]]&lt;&gt;"Transfer",ROUND(tblTransactions[[#This Row],[USD]]-tblTransactions[[#This Row],[Nontax Income]]+tblTransactions[[#This Row],[ST Cap Gain]]+tblTransactions[[#This Row],[LT Cap Gain]],2),0)</f>
        <v>200</v>
      </c>
      <c r="J5" s="5">
        <f>SUMIFS($F$2:tblTransactions[[#This Row],[Quantity]],$E$2:tblTransactions[[#This Row],[Asset]],tblTransactions[[#This Row],[Asset]])</f>
        <v>2</v>
      </c>
      <c r="K5" s="8">
        <f ca="1">SUMIFS($I$2:tblTransactions[[#This Row],[Basis]],$E$2:tblTransactions[[#This Row],[Asset]],tblTransactions[[#This Row],[Asset]])</f>
        <v>200</v>
      </c>
      <c r="L5" s="5">
        <f ca="1">SUMIFS($F$2:OFFSET(tblTransactions[[#This Row],[Quantity]],-1,0),$E$2:OFFSET(tblTransactions[[#This Row],[Asset]],-1,0),tblTransactions[[#This Row],[Asset]])</f>
        <v>0</v>
      </c>
      <c r="M5" s="8">
        <f ca="1">SUMIFS($I$2:OFFSET(tblTransactions[[#This Row],[Basis]],-1,0),$E$2:OFFSET(tblTransactions[[#This Row],[Asset]],-1,0),tblTransactions[[#This Row],[Asset]])</f>
        <v>0</v>
      </c>
      <c r="N5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5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5" s="8">
        <f ca="1">tblTransactions[[#This Row],[Prior Basis]]-tblTransactions[[#This Row],[Prior LT Basis]]</f>
        <v>0</v>
      </c>
      <c r="Q5" s="5">
        <f ca="1">tblTransactions[[#This Row],[Prior Qty]]-tblTransactions[[#This Row],[Prior LT Qty]]</f>
        <v>0</v>
      </c>
      <c r="R5" s="5" t="str">
        <f>VLOOKUP(tblTransactions[[#This Row],[Type]],tblTransactionTypes[],3,FALSE)</f>
        <v>N/A</v>
      </c>
      <c r="S5" s="8">
        <f>IF(tblTransactions[[#This Row],[Tax Treatment]]="Taxable Income",tblTransactions[[#This Row],[USD]],0)</f>
        <v>0</v>
      </c>
      <c r="T5" s="8">
        <f>IF(tblTransactions[[#This Row],[Tax Treatment]]="Nontaxable Income",tblTransactions[[#This Row],[USD]],0)</f>
        <v>0</v>
      </c>
      <c r="U5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5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6" spans="2:23" x14ac:dyDescent="0.25">
      <c r="B6" s="3">
        <v>37621</v>
      </c>
      <c r="C6" t="s">
        <v>15</v>
      </c>
      <c r="D6" t="s">
        <v>23</v>
      </c>
      <c r="E6" t="s">
        <v>2</v>
      </c>
      <c r="F6" s="5">
        <v>-1</v>
      </c>
      <c r="G6" s="1">
        <v>-150</v>
      </c>
      <c r="H6" s="8">
        <f>IFERROR(tblTransactions[[#This Row],[USD]]/tblTransactions[[#This Row],[Quantity]],0)</f>
        <v>150</v>
      </c>
      <c r="I6" s="8">
        <f ca="1">IF(tblTransactions[[#This Row],[Type]]&lt;&gt;"Transfer",ROUND(tblTransactions[[#This Row],[USD]]-tblTransactions[[#This Row],[Nontax Income]]+tblTransactions[[#This Row],[ST Cap Gain]]+tblTransactions[[#This Row],[LT Cap Gain]],2),0)</f>
        <v>-100</v>
      </c>
      <c r="J6" s="5">
        <f>SUMIFS($F$2:tblTransactions[[#This Row],[Quantity]],$E$2:tblTransactions[[#This Row],[Asset]],tblTransactions[[#This Row],[Asset]])</f>
        <v>1</v>
      </c>
      <c r="K6" s="8">
        <f ca="1">SUMIFS($I$2:tblTransactions[[#This Row],[Basis]],$E$2:tblTransactions[[#This Row],[Asset]],tblTransactions[[#This Row],[Asset]])</f>
        <v>100</v>
      </c>
      <c r="L6" s="5">
        <f ca="1">SUMIFS($F$2:OFFSET(tblTransactions[[#This Row],[Quantity]],-1,0),$E$2:OFFSET(tblTransactions[[#This Row],[Asset]],-1,0),tblTransactions[[#This Row],[Asset]])</f>
        <v>2</v>
      </c>
      <c r="M6" s="8">
        <f ca="1">SUMIFS($I$2:OFFSET(tblTransactions[[#This Row],[Basis]],-1,0),$E$2:OFFSET(tblTransactions[[#This Row],[Asset]],-1,0),tblTransactions[[#This Row],[Asset]])</f>
        <v>200</v>
      </c>
      <c r="N6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6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6" s="8">
        <f ca="1">tblTransactions[[#This Row],[Prior Basis]]-tblTransactions[[#This Row],[Prior LT Basis]]</f>
        <v>200</v>
      </c>
      <c r="Q6" s="5">
        <f ca="1">tblTransactions[[#This Row],[Prior Qty]]-tblTransactions[[#This Row],[Prior LT Qty]]</f>
        <v>2</v>
      </c>
      <c r="R6" s="5" t="str">
        <f>VLOOKUP(tblTransactions[[#This Row],[Type]],tblTransactionTypes[],3,FALSE)</f>
        <v>Capital</v>
      </c>
      <c r="S6" s="8">
        <f>IF(tblTransactions[[#This Row],[Tax Treatment]]="Taxable Income",tblTransactions[[#This Row],[USD]],0)</f>
        <v>0</v>
      </c>
      <c r="T6" s="8">
        <f>IF(tblTransactions[[#This Row],[Tax Treatment]]="Nontaxable Income",tblTransactions[[#This Row],[USD]],0)</f>
        <v>0</v>
      </c>
      <c r="U6" s="8">
        <f ca="1"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6" s="8">
        <f ca="1"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50</v>
      </c>
    </row>
    <row r="7" spans="2:23" x14ac:dyDescent="0.25">
      <c r="B7" s="3">
        <v>37622</v>
      </c>
      <c r="C7" t="s">
        <v>15</v>
      </c>
      <c r="D7" t="s">
        <v>23</v>
      </c>
      <c r="E7" t="s">
        <v>2</v>
      </c>
      <c r="F7" s="5">
        <v>-1</v>
      </c>
      <c r="G7" s="1">
        <v>-300</v>
      </c>
      <c r="H7" s="8">
        <f>IFERROR(tblTransactions[[#This Row],[USD]]/tblTransactions[[#This Row],[Quantity]],0)</f>
        <v>300</v>
      </c>
      <c r="I7" s="8">
        <f ca="1">IF(tblTransactions[[#This Row],[Type]]&lt;&gt;"Transfer",ROUND(tblTransactions[[#This Row],[USD]]-tblTransactions[[#This Row],[Nontax Income]]+tblTransactions[[#This Row],[ST Cap Gain]]+tblTransactions[[#This Row],[LT Cap Gain]],2),0)</f>
        <v>-100</v>
      </c>
      <c r="J7" s="5">
        <f>SUMIFS($F$2:tblTransactions[[#This Row],[Quantity]],$E$2:tblTransactions[[#This Row],[Asset]],tblTransactions[[#This Row],[Asset]])</f>
        <v>0</v>
      </c>
      <c r="K7" s="8">
        <f ca="1">SUMIFS($I$2:tblTransactions[[#This Row],[Basis]],$E$2:tblTransactions[[#This Row],[Asset]],tblTransactions[[#This Row],[Asset]])</f>
        <v>0</v>
      </c>
      <c r="L7" s="5">
        <f ca="1">SUMIFS($F$2:OFFSET(tblTransactions[[#This Row],[Quantity]],-1,0),$E$2:OFFSET(tblTransactions[[#This Row],[Asset]],-1,0),tblTransactions[[#This Row],[Asset]])</f>
        <v>1</v>
      </c>
      <c r="M7" s="8">
        <f ca="1">SUMIFS($I$2:OFFSET(tblTransactions[[#This Row],[Basis]],-1,0),$E$2:OFFSET(tblTransactions[[#This Row],[Asset]],-1,0),tblTransactions[[#This Row],[Asset]])</f>
        <v>100</v>
      </c>
      <c r="N7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100</v>
      </c>
      <c r="O7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1</v>
      </c>
      <c r="P7" s="8">
        <f ca="1">tblTransactions[[#This Row],[Prior Basis]]-tblTransactions[[#This Row],[Prior LT Basis]]</f>
        <v>0</v>
      </c>
      <c r="Q7" s="5">
        <f ca="1">tblTransactions[[#This Row],[Prior Qty]]-tblTransactions[[#This Row],[Prior LT Qty]]</f>
        <v>0</v>
      </c>
      <c r="R7" s="5" t="str">
        <f>VLOOKUP(tblTransactions[[#This Row],[Type]],tblTransactionTypes[],3,FALSE)</f>
        <v>Capital</v>
      </c>
      <c r="S7" s="8">
        <f>IF(tblTransactions[[#This Row],[Tax Treatment]]="Taxable Income",tblTransactions[[#This Row],[USD]],0)</f>
        <v>0</v>
      </c>
      <c r="T7" s="8">
        <f>IF(tblTransactions[[#This Row],[Tax Treatment]]="Nontaxable Income",tblTransactions[[#This Row],[USD]],0)</f>
        <v>0</v>
      </c>
      <c r="U7" s="8">
        <f ca="1"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200</v>
      </c>
      <c r="V7" s="8">
        <f ca="1"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8" spans="2:23" x14ac:dyDescent="0.25">
      <c r="B8" s="3">
        <v>37987</v>
      </c>
      <c r="C8" t="s">
        <v>1</v>
      </c>
      <c r="D8" t="s">
        <v>23</v>
      </c>
      <c r="E8" t="s">
        <v>2</v>
      </c>
      <c r="F8" s="5">
        <v>1</v>
      </c>
      <c r="G8" s="1">
        <v>100</v>
      </c>
      <c r="H8" s="8">
        <f>IFERROR(tblTransactions[[#This Row],[USD]]/tblTransactions[[#This Row],[Quantity]],0)</f>
        <v>100</v>
      </c>
      <c r="I8" s="8">
        <f>IF(tblTransactions[[#This Row],[Type]]&lt;&gt;"Transfer",ROUND(tblTransactions[[#This Row],[USD]]-tblTransactions[[#This Row],[Nontax Income]]+tblTransactions[[#This Row],[ST Cap Gain]]+tblTransactions[[#This Row],[LT Cap Gain]],2),0)</f>
        <v>100</v>
      </c>
      <c r="J8" s="5">
        <f>SUMIFS($F$2:tblTransactions[[#This Row],[Quantity]],$E$2:tblTransactions[[#This Row],[Asset]],tblTransactions[[#This Row],[Asset]])</f>
        <v>1</v>
      </c>
      <c r="K8" s="8">
        <f ca="1">SUMIFS($I$2:tblTransactions[[#This Row],[Basis]],$E$2:tblTransactions[[#This Row],[Asset]],tblTransactions[[#This Row],[Asset]])</f>
        <v>100</v>
      </c>
      <c r="L8" s="5">
        <f ca="1">SUMIFS($F$2:OFFSET(tblTransactions[[#This Row],[Quantity]],-1,0),$E$2:OFFSET(tblTransactions[[#This Row],[Asset]],-1,0),tblTransactions[[#This Row],[Asset]])</f>
        <v>0</v>
      </c>
      <c r="M8" s="8">
        <f ca="1">SUMIFS($I$2:OFFSET(tblTransactions[[#This Row],[Basis]],-1,0),$E$2:OFFSET(tblTransactions[[#This Row],[Asset]],-1,0),tblTransactions[[#This Row],[Asset]])</f>
        <v>0</v>
      </c>
      <c r="N8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8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8" s="8">
        <f ca="1">tblTransactions[[#This Row],[Prior Basis]]-tblTransactions[[#This Row],[Prior LT Basis]]</f>
        <v>0</v>
      </c>
      <c r="Q8" s="5">
        <f ca="1">tblTransactions[[#This Row],[Prior Qty]]-tblTransactions[[#This Row],[Prior LT Qty]]</f>
        <v>0</v>
      </c>
      <c r="R8" s="5" t="str">
        <f>VLOOKUP(tblTransactions[[#This Row],[Type]],tblTransactionTypes[],3,FALSE)</f>
        <v>N/A</v>
      </c>
      <c r="S8" s="8">
        <f>IF(tblTransactions[[#This Row],[Tax Treatment]]="Taxable Income",tblTransactions[[#This Row],[USD]],0)</f>
        <v>0</v>
      </c>
      <c r="T8" s="8">
        <f>IF(tblTransactions[[#This Row],[Tax Treatment]]="Nontaxable Income",tblTransactions[[#This Row],[USD]],0)</f>
        <v>0</v>
      </c>
      <c r="U8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8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9" spans="2:23" x14ac:dyDescent="0.25">
      <c r="B9" s="3">
        <v>38047</v>
      </c>
      <c r="C9" t="s">
        <v>1</v>
      </c>
      <c r="D9" t="s">
        <v>23</v>
      </c>
      <c r="E9" t="s">
        <v>2</v>
      </c>
      <c r="F9" s="5">
        <v>1</v>
      </c>
      <c r="G9" s="1">
        <v>300</v>
      </c>
      <c r="H9" s="8">
        <f>IFERROR(tblTransactions[[#This Row],[USD]]/tblTransactions[[#This Row],[Quantity]],0)</f>
        <v>300</v>
      </c>
      <c r="I9" s="8">
        <f>IF(tblTransactions[[#This Row],[Type]]&lt;&gt;"Transfer",ROUND(tblTransactions[[#This Row],[USD]]-tblTransactions[[#This Row],[Nontax Income]]+tblTransactions[[#This Row],[ST Cap Gain]]+tblTransactions[[#This Row],[LT Cap Gain]],2),0)</f>
        <v>300</v>
      </c>
      <c r="J9" s="5">
        <f>SUMIFS($F$2:tblTransactions[[#This Row],[Quantity]],$E$2:tblTransactions[[#This Row],[Asset]],tblTransactions[[#This Row],[Asset]])</f>
        <v>2</v>
      </c>
      <c r="K9" s="8">
        <f ca="1">SUMIFS($I$2:tblTransactions[[#This Row],[Basis]],$E$2:tblTransactions[[#This Row],[Asset]],tblTransactions[[#This Row],[Asset]])</f>
        <v>400</v>
      </c>
      <c r="L9" s="5">
        <f ca="1">SUMIFS($F$2:OFFSET(tblTransactions[[#This Row],[Quantity]],-1,0),$E$2:OFFSET(tblTransactions[[#This Row],[Asset]],-1,0),tblTransactions[[#This Row],[Asset]])</f>
        <v>1</v>
      </c>
      <c r="M9" s="8">
        <f ca="1">SUMIFS($I$2:OFFSET(tblTransactions[[#This Row],[Basis]],-1,0),$E$2:OFFSET(tblTransactions[[#This Row],[Asset]],-1,0),tblTransactions[[#This Row],[Asset]])</f>
        <v>100</v>
      </c>
      <c r="N9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9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9" s="8">
        <f ca="1">tblTransactions[[#This Row],[Prior Basis]]-tblTransactions[[#This Row],[Prior LT Basis]]</f>
        <v>100</v>
      </c>
      <c r="Q9" s="5">
        <f ca="1">tblTransactions[[#This Row],[Prior Qty]]-tblTransactions[[#This Row],[Prior LT Qty]]</f>
        <v>1</v>
      </c>
      <c r="R9" s="5" t="str">
        <f>VLOOKUP(tblTransactions[[#This Row],[Type]],tblTransactionTypes[],3,FALSE)</f>
        <v>N/A</v>
      </c>
      <c r="S9" s="8">
        <f>IF(tblTransactions[[#This Row],[Tax Treatment]]="Taxable Income",tblTransactions[[#This Row],[USD]],0)</f>
        <v>0</v>
      </c>
      <c r="T9" s="8">
        <f>IF(tblTransactions[[#This Row],[Tax Treatment]]="Nontaxable Income",tblTransactions[[#This Row],[USD]],0)</f>
        <v>0</v>
      </c>
      <c r="U9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9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10" spans="2:23" x14ac:dyDescent="0.25">
      <c r="B10" s="3">
        <v>38139</v>
      </c>
      <c r="C10" t="s">
        <v>1</v>
      </c>
      <c r="D10" t="s">
        <v>23</v>
      </c>
      <c r="E10" t="s">
        <v>2</v>
      </c>
      <c r="F10" s="5">
        <v>1</v>
      </c>
      <c r="G10" s="1">
        <v>500</v>
      </c>
      <c r="H10" s="8">
        <f>IFERROR(tblTransactions[[#This Row],[USD]]/tblTransactions[[#This Row],[Quantity]],0)</f>
        <v>500</v>
      </c>
      <c r="I10" s="8">
        <f>IF(tblTransactions[[#This Row],[Type]]&lt;&gt;"Transfer",ROUND(tblTransactions[[#This Row],[USD]]-tblTransactions[[#This Row],[Nontax Income]]+tblTransactions[[#This Row],[ST Cap Gain]]+tblTransactions[[#This Row],[LT Cap Gain]],2),0)</f>
        <v>500</v>
      </c>
      <c r="J10" s="5">
        <f>SUMIFS($F$2:tblTransactions[[#This Row],[Quantity]],$E$2:tblTransactions[[#This Row],[Asset]],tblTransactions[[#This Row],[Asset]])</f>
        <v>3</v>
      </c>
      <c r="K10" s="8">
        <f ca="1">SUMIFS($I$2:tblTransactions[[#This Row],[Basis]],$E$2:tblTransactions[[#This Row],[Asset]],tblTransactions[[#This Row],[Asset]])</f>
        <v>900</v>
      </c>
      <c r="L10" s="5">
        <f ca="1">SUMIFS($F$2:OFFSET(tblTransactions[[#This Row],[Quantity]],-1,0),$E$2:OFFSET(tblTransactions[[#This Row],[Asset]],-1,0),tblTransactions[[#This Row],[Asset]])</f>
        <v>2</v>
      </c>
      <c r="M10" s="8">
        <f ca="1">SUMIFS($I$2:OFFSET(tblTransactions[[#This Row],[Basis]],-1,0),$E$2:OFFSET(tblTransactions[[#This Row],[Asset]],-1,0),tblTransactions[[#This Row],[Asset]])</f>
        <v>400</v>
      </c>
      <c r="N10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10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10" s="8">
        <f ca="1">tblTransactions[[#This Row],[Prior Basis]]-tblTransactions[[#This Row],[Prior LT Basis]]</f>
        <v>400</v>
      </c>
      <c r="Q10" s="5">
        <f ca="1">tblTransactions[[#This Row],[Prior Qty]]-tblTransactions[[#This Row],[Prior LT Qty]]</f>
        <v>2</v>
      </c>
      <c r="R10" s="5" t="str">
        <f>VLOOKUP(tblTransactions[[#This Row],[Type]],tblTransactionTypes[],3,FALSE)</f>
        <v>N/A</v>
      </c>
      <c r="S10" s="8">
        <f>IF(tblTransactions[[#This Row],[Tax Treatment]]="Taxable Income",tblTransactions[[#This Row],[USD]],0)</f>
        <v>0</v>
      </c>
      <c r="T10" s="8">
        <f>IF(tblTransactions[[#This Row],[Tax Treatment]]="Nontaxable Income",tblTransactions[[#This Row],[USD]],0)</f>
        <v>0</v>
      </c>
      <c r="U10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10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11" spans="2:23" x14ac:dyDescent="0.25">
      <c r="B11" s="3">
        <v>38443</v>
      </c>
      <c r="C11" t="s">
        <v>15</v>
      </c>
      <c r="D11" t="s">
        <v>23</v>
      </c>
      <c r="E11" t="s">
        <v>2</v>
      </c>
      <c r="F11" s="5">
        <v>-1.5</v>
      </c>
      <c r="G11" s="1">
        <v>-500</v>
      </c>
      <c r="H11" s="8">
        <f>IFERROR(tblTransactions[[#This Row],[USD]]/tblTransactions[[#This Row],[Quantity]],0)</f>
        <v>333.33333333333331</v>
      </c>
      <c r="I11" s="8">
        <f ca="1">IF(tblTransactions[[#This Row],[Type]]&lt;&gt;"Transfer",ROUND(tblTransactions[[#This Row],[USD]]-tblTransactions[[#This Row],[Nontax Income]]+tblTransactions[[#This Row],[ST Cap Gain]]+tblTransactions[[#This Row],[LT Cap Gain]],2),0)</f>
        <v>-216.67</v>
      </c>
      <c r="J11" s="5">
        <f>SUMIFS($F$2:tblTransactions[[#This Row],[Quantity]],$E$2:tblTransactions[[#This Row],[Asset]],tblTransactions[[#This Row],[Asset]])</f>
        <v>1.5</v>
      </c>
      <c r="K11" s="8">
        <f ca="1">SUMIFS($I$2:tblTransactions[[#This Row],[Basis]],$E$2:tblTransactions[[#This Row],[Asset]],tblTransactions[[#This Row],[Asset]])</f>
        <v>683.33</v>
      </c>
      <c r="L11" s="5">
        <f ca="1">SUMIFS($F$2:OFFSET(tblTransactions[[#This Row],[Quantity]],-1,0),$E$2:OFFSET(tblTransactions[[#This Row],[Asset]],-1,0),tblTransactions[[#This Row],[Asset]])</f>
        <v>3</v>
      </c>
      <c r="M11" s="8">
        <f ca="1">SUMIFS($I$2:OFFSET(tblTransactions[[#This Row],[Basis]],-1,0),$E$2:OFFSET(tblTransactions[[#This Row],[Asset]],-1,0),tblTransactions[[#This Row],[Asset]])</f>
        <v>900</v>
      </c>
      <c r="N11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400</v>
      </c>
      <c r="O11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2</v>
      </c>
      <c r="P11" s="8">
        <f ca="1">tblTransactions[[#This Row],[Prior Basis]]-tblTransactions[[#This Row],[Prior LT Basis]]</f>
        <v>500</v>
      </c>
      <c r="Q11" s="5">
        <f ca="1">tblTransactions[[#This Row],[Prior Qty]]-tblTransactions[[#This Row],[Prior LT Qty]]</f>
        <v>1</v>
      </c>
      <c r="R11" s="5" t="str">
        <f>VLOOKUP(tblTransactions[[#This Row],[Type]],tblTransactionTypes[],3,FALSE)</f>
        <v>Capital</v>
      </c>
      <c r="S11" s="8">
        <f>IF(tblTransactions[[#This Row],[Tax Treatment]]="Taxable Income",tblTransactions[[#This Row],[USD]],0)</f>
        <v>0</v>
      </c>
      <c r="T11" s="8">
        <f>IF(tblTransactions[[#This Row],[Tax Treatment]]="Nontaxable Income",tblTransactions[[#This Row],[USD]],0)</f>
        <v>0</v>
      </c>
      <c r="U11" s="8">
        <f ca="1"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200</v>
      </c>
      <c r="V11" s="8">
        <f ca="1"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83.333333333333343</v>
      </c>
    </row>
    <row r="12" spans="2:23" x14ac:dyDescent="0.25">
      <c r="B12" s="3">
        <v>40179</v>
      </c>
      <c r="C12" t="s">
        <v>1</v>
      </c>
      <c r="D12" t="s">
        <v>23</v>
      </c>
      <c r="E12" t="s">
        <v>2</v>
      </c>
      <c r="F12" s="5">
        <v>0.1</v>
      </c>
      <c r="G12" s="1">
        <v>100</v>
      </c>
      <c r="H12" s="8">
        <f>IFERROR(tblTransactions[[#This Row],[USD]]/tblTransactions[[#This Row],[Quantity]],0)</f>
        <v>1000</v>
      </c>
      <c r="I12" s="8">
        <f>IF(tblTransactions[[#This Row],[Type]]&lt;&gt;"Transfer",ROUND(tblTransactions[[#This Row],[USD]]-tblTransactions[[#This Row],[Nontax Income]]+tblTransactions[[#This Row],[ST Cap Gain]]+tblTransactions[[#This Row],[LT Cap Gain]],2),0)</f>
        <v>100</v>
      </c>
      <c r="J12" s="5">
        <f>SUMIFS($F$2:tblTransactions[[#This Row],[Quantity]],$E$2:tblTransactions[[#This Row],[Asset]],tblTransactions[[#This Row],[Asset]])</f>
        <v>1.6</v>
      </c>
      <c r="K12" s="8">
        <f ca="1">SUMIFS($I$2:tblTransactions[[#This Row],[Basis]],$E$2:tblTransactions[[#This Row],[Asset]],tblTransactions[[#This Row],[Asset]])</f>
        <v>783.33</v>
      </c>
      <c r="L12" s="5">
        <f ca="1">SUMIFS($F$2:OFFSET(tblTransactions[[#This Row],[Quantity]],-1,0),$E$2:OFFSET(tblTransactions[[#This Row],[Asset]],-1,0),tblTransactions[[#This Row],[Asset]])</f>
        <v>1.5</v>
      </c>
      <c r="M12" s="8">
        <f ca="1">SUMIFS($I$2:OFFSET(tblTransactions[[#This Row],[Basis]],-1,0),$E$2:OFFSET(tblTransactions[[#This Row],[Asset]],-1,0),tblTransactions[[#This Row],[Asset]])</f>
        <v>683.33</v>
      </c>
      <c r="N12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683.33</v>
      </c>
      <c r="O12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1.5</v>
      </c>
      <c r="P12" s="8">
        <f ca="1">tblTransactions[[#This Row],[Prior Basis]]-tblTransactions[[#This Row],[Prior LT Basis]]</f>
        <v>0</v>
      </c>
      <c r="Q12" s="5">
        <f ca="1">tblTransactions[[#This Row],[Prior Qty]]-tblTransactions[[#This Row],[Prior LT Qty]]</f>
        <v>0</v>
      </c>
      <c r="R12" s="5" t="str">
        <f>VLOOKUP(tblTransactions[[#This Row],[Type]],tblTransactionTypes[],3,FALSE)</f>
        <v>N/A</v>
      </c>
      <c r="S12" s="8">
        <f>IF(tblTransactions[[#This Row],[Tax Treatment]]="Taxable Income",tblTransactions[[#This Row],[USD]],0)</f>
        <v>0</v>
      </c>
      <c r="T12" s="8">
        <f>IF(tblTransactions[[#This Row],[Tax Treatment]]="Nontaxable Income",tblTransactions[[#This Row],[USD]],0)</f>
        <v>0</v>
      </c>
      <c r="U12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12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13" spans="2:23" x14ac:dyDescent="0.25">
      <c r="B13" s="3">
        <v>40179</v>
      </c>
      <c r="C13" t="s">
        <v>1</v>
      </c>
      <c r="D13" t="s">
        <v>23</v>
      </c>
      <c r="E13" t="s">
        <v>4</v>
      </c>
      <c r="F13" s="5">
        <v>1</v>
      </c>
      <c r="G13" s="1">
        <v>200</v>
      </c>
      <c r="H13" s="8">
        <f>IFERROR(tblTransactions[[#This Row],[USD]]/tblTransactions[[#This Row],[Quantity]],0)</f>
        <v>200</v>
      </c>
      <c r="I13" s="8">
        <f>IF(tblTransactions[[#This Row],[Type]]&lt;&gt;"Transfer",ROUND(tblTransactions[[#This Row],[USD]]-tblTransactions[[#This Row],[Nontax Income]]+tblTransactions[[#This Row],[ST Cap Gain]]+tblTransactions[[#This Row],[LT Cap Gain]],2),0)</f>
        <v>200</v>
      </c>
      <c r="J13" s="5">
        <f>SUMIFS($F$2:tblTransactions[[#This Row],[Quantity]],$E$2:tblTransactions[[#This Row],[Asset]],tblTransactions[[#This Row],[Asset]])</f>
        <v>1</v>
      </c>
      <c r="K13" s="8">
        <f>SUMIFS($I$2:tblTransactions[[#This Row],[Basis]],$E$2:tblTransactions[[#This Row],[Asset]],tblTransactions[[#This Row],[Asset]])</f>
        <v>200</v>
      </c>
      <c r="L13" s="5">
        <f ca="1">SUMIFS($F$2:OFFSET(tblTransactions[[#This Row],[Quantity]],-1,0),$E$2:OFFSET(tblTransactions[[#This Row],[Asset]],-1,0),tblTransactions[[#This Row],[Asset]])</f>
        <v>0</v>
      </c>
      <c r="M13" s="8">
        <f ca="1">SUMIFS($I$2:OFFSET(tblTransactions[[#This Row],[Basis]],-1,0),$E$2:OFFSET(tblTransactions[[#This Row],[Asset]],-1,0),tblTransactions[[#This Row],[Asset]])</f>
        <v>0</v>
      </c>
      <c r="N13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13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13" s="8">
        <f ca="1">tblTransactions[[#This Row],[Prior Basis]]-tblTransactions[[#This Row],[Prior LT Basis]]</f>
        <v>0</v>
      </c>
      <c r="Q13" s="5">
        <f ca="1">tblTransactions[[#This Row],[Prior Qty]]-tblTransactions[[#This Row],[Prior LT Qty]]</f>
        <v>0</v>
      </c>
      <c r="R13" s="5" t="str">
        <f>VLOOKUP(tblTransactions[[#This Row],[Type]],tblTransactionTypes[],3,FALSE)</f>
        <v>N/A</v>
      </c>
      <c r="S13" s="8">
        <f>IF(tblTransactions[[#This Row],[Tax Treatment]]="Taxable Income",tblTransactions[[#This Row],[USD]],0)</f>
        <v>0</v>
      </c>
      <c r="T13" s="8">
        <f>IF(tblTransactions[[#This Row],[Tax Treatment]]="Nontaxable Income",tblTransactions[[#This Row],[USD]],0)</f>
        <v>0</v>
      </c>
      <c r="U13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13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14" spans="2:23" x14ac:dyDescent="0.25">
      <c r="B14" s="3">
        <v>40179</v>
      </c>
      <c r="C14" t="s">
        <v>1</v>
      </c>
      <c r="D14" t="s">
        <v>23</v>
      </c>
      <c r="E14" t="s">
        <v>59</v>
      </c>
      <c r="F14" s="5">
        <v>100</v>
      </c>
      <c r="G14" s="1">
        <v>100</v>
      </c>
      <c r="H14" s="8">
        <f>IFERROR(tblTransactions[[#This Row],[USD]]/tblTransactions[[#This Row],[Quantity]],0)</f>
        <v>1</v>
      </c>
      <c r="I14" s="8">
        <f>IF(tblTransactions[[#This Row],[Type]]&lt;&gt;"Transfer",ROUND(tblTransactions[[#This Row],[USD]]-tblTransactions[[#This Row],[Nontax Income]]+tblTransactions[[#This Row],[ST Cap Gain]]+tblTransactions[[#This Row],[LT Cap Gain]],2),0)</f>
        <v>100</v>
      </c>
      <c r="J14" s="5">
        <f>SUMIFS($F$2:tblTransactions[[#This Row],[Quantity]],$E$2:tblTransactions[[#This Row],[Asset]],tblTransactions[[#This Row],[Asset]])</f>
        <v>100</v>
      </c>
      <c r="K14" s="8">
        <f>SUMIFS($I$2:tblTransactions[[#This Row],[Basis]],$E$2:tblTransactions[[#This Row],[Asset]],tblTransactions[[#This Row],[Asset]])</f>
        <v>100</v>
      </c>
      <c r="L14" s="5">
        <f ca="1">SUMIFS($F$2:OFFSET(tblTransactions[[#This Row],[Quantity]],-1,0),$E$2:OFFSET(tblTransactions[[#This Row],[Asset]],-1,0),tblTransactions[[#This Row],[Asset]])</f>
        <v>0</v>
      </c>
      <c r="M14" s="8">
        <f ca="1">SUMIFS($I$2:OFFSET(tblTransactions[[#This Row],[Basis]],-1,0),$E$2:OFFSET(tblTransactions[[#This Row],[Asset]],-1,0),tblTransactions[[#This Row],[Asset]])</f>
        <v>0</v>
      </c>
      <c r="N14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14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14" s="8">
        <f ca="1">tblTransactions[[#This Row],[Prior Basis]]-tblTransactions[[#This Row],[Prior LT Basis]]</f>
        <v>0</v>
      </c>
      <c r="Q14" s="5">
        <f ca="1">tblTransactions[[#This Row],[Prior Qty]]-tblTransactions[[#This Row],[Prior LT Qty]]</f>
        <v>0</v>
      </c>
      <c r="R14" s="5" t="str">
        <f>VLOOKUP(tblTransactions[[#This Row],[Type]],tblTransactionTypes[],3,FALSE)</f>
        <v>N/A</v>
      </c>
      <c r="S14" s="8">
        <f>IF(tblTransactions[[#This Row],[Tax Treatment]]="Taxable Income",tblTransactions[[#This Row],[USD]],0)</f>
        <v>0</v>
      </c>
      <c r="T14" s="8">
        <f>IF(tblTransactions[[#This Row],[Tax Treatment]]="Nontaxable Income",tblTransactions[[#This Row],[USD]],0)</f>
        <v>0</v>
      </c>
      <c r="U14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14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15" spans="2:23" x14ac:dyDescent="0.25">
      <c r="B15" s="3">
        <v>44197</v>
      </c>
      <c r="C15" t="s">
        <v>3</v>
      </c>
      <c r="D15" t="s">
        <v>23</v>
      </c>
      <c r="E15" t="s">
        <v>13</v>
      </c>
      <c r="F15" s="5">
        <v>3</v>
      </c>
      <c r="G15" s="1">
        <v>3</v>
      </c>
      <c r="H15" s="8">
        <f>IFERROR(tblTransactions[[#This Row],[USD]]/tblTransactions[[#This Row],[Quantity]],0)</f>
        <v>1</v>
      </c>
      <c r="I15" s="8">
        <f>IF(tblTransactions[[#This Row],[Type]]&lt;&gt;"Transfer",ROUND(tblTransactions[[#This Row],[USD]]-tblTransactions[[#This Row],[Nontax Income]]+tblTransactions[[#This Row],[ST Cap Gain]]+tblTransactions[[#This Row],[LT Cap Gain]],2),0)</f>
        <v>3</v>
      </c>
      <c r="J15" s="5">
        <f>SUMIFS($F$2:tblTransactions[[#This Row],[Quantity]],$E$2:tblTransactions[[#This Row],[Asset]],tblTransactions[[#This Row],[Asset]])</f>
        <v>3</v>
      </c>
      <c r="K15" s="8">
        <f>SUMIFS($I$2:tblTransactions[[#This Row],[Basis]],$E$2:tblTransactions[[#This Row],[Asset]],tblTransactions[[#This Row],[Asset]])</f>
        <v>3</v>
      </c>
      <c r="L15" s="5">
        <f ca="1">SUMIFS($F$2:OFFSET(tblTransactions[[#This Row],[Quantity]],-1,0),$E$2:OFFSET(tblTransactions[[#This Row],[Asset]],-1,0),tblTransactions[[#This Row],[Asset]])</f>
        <v>0</v>
      </c>
      <c r="M15" s="8">
        <f ca="1">SUMIFS($I$2:OFFSET(tblTransactions[[#This Row],[Basis]],-1,0),$E$2:OFFSET(tblTransactions[[#This Row],[Asset]],-1,0),tblTransactions[[#This Row],[Asset]])</f>
        <v>0</v>
      </c>
      <c r="N15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0</v>
      </c>
      <c r="O15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0</v>
      </c>
      <c r="P15" s="8">
        <f ca="1">tblTransactions[[#This Row],[Prior Basis]]-tblTransactions[[#This Row],[Prior LT Basis]]</f>
        <v>0</v>
      </c>
      <c r="Q15" s="5">
        <f ca="1">tblTransactions[[#This Row],[Prior Qty]]-tblTransactions[[#This Row],[Prior LT Qty]]</f>
        <v>0</v>
      </c>
      <c r="R15" s="5" t="str">
        <f>VLOOKUP(tblTransactions[[#This Row],[Type]],tblTransactionTypes[],3,FALSE)</f>
        <v>Taxable Income</v>
      </c>
      <c r="S15" s="8">
        <f>IF(tblTransactions[[#This Row],[Tax Treatment]]="Taxable Income",tblTransactions[[#This Row],[USD]],0)</f>
        <v>3</v>
      </c>
      <c r="T15" s="8">
        <f>IF(tblTransactions[[#This Row],[Tax Treatment]]="Nontaxable Income",tblTransactions[[#This Row],[USD]],0)</f>
        <v>0</v>
      </c>
      <c r="U15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15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  <row r="16" spans="2:23" x14ac:dyDescent="0.25">
      <c r="B16" s="3">
        <v>44348</v>
      </c>
      <c r="C16" t="s">
        <v>35</v>
      </c>
      <c r="D16" t="s">
        <v>66</v>
      </c>
      <c r="E16" t="s">
        <v>2</v>
      </c>
      <c r="F16" s="5">
        <v>5.0000000000000001E-4</v>
      </c>
      <c r="G16" s="1">
        <v>21</v>
      </c>
      <c r="H16" s="8">
        <f>IFERROR(tblTransactions[[#This Row],[USD]]/tblTransactions[[#This Row],[Quantity]],0)</f>
        <v>42000</v>
      </c>
      <c r="I16" s="8">
        <f>IF(tblTransactions[[#This Row],[Type]]&lt;&gt;"Transfer",ROUND(tblTransactions[[#This Row],[USD]]-tblTransactions[[#This Row],[Nontax Income]]+tblTransactions[[#This Row],[ST Cap Gain]]+tblTransactions[[#This Row],[LT Cap Gain]],2),0)</f>
        <v>0</v>
      </c>
      <c r="J16" s="5">
        <f>SUMIFS($F$2:tblTransactions[[#This Row],[Quantity]],$E$2:tblTransactions[[#This Row],[Asset]],tblTransactions[[#This Row],[Asset]])</f>
        <v>1.6005</v>
      </c>
      <c r="K16" s="8">
        <f ca="1">SUMIFS($I$2:tblTransactions[[#This Row],[Basis]],$E$2:tblTransactions[[#This Row],[Asset]],tblTransactions[[#This Row],[Asset]])</f>
        <v>783.33</v>
      </c>
      <c r="L16" s="5">
        <f ca="1">SUMIFS($F$2:OFFSET(tblTransactions[[#This Row],[Quantity]],-1,0),$E$2:OFFSET(tblTransactions[[#This Row],[Asset]],-1,0),tblTransactions[[#This Row],[Asset]])</f>
        <v>1.6</v>
      </c>
      <c r="M16" s="8">
        <f ca="1">SUMIFS($I$2:OFFSET(tblTransactions[[#This Row],[Basis]],-1,0),$E$2:OFFSET(tblTransactions[[#This Row],[Asset]],-1,0),tblTransactions[[#This Row],[Asset]])</f>
        <v>783.33</v>
      </c>
      <c r="N16" s="8">
        <f ca="1">MAX(SUMIFS($I$2:OFFSET(tblTransactions[[#This Row],[Basis]],-1,0),$E$2:OFFSET(tblTransactions[[#This Row],[Asset]],-1,0),tblTransactions[[#This Row],[Asset]],$B$2:OFFSET(tblTransactions[[#This Row],[Date]],-1,0),"&lt;"&amp;tblTransactions[[#This Row],[Date]]-364,$I$2:OFFSET(tblTransactions[[#This Row],[Basis]],-1,0),"&gt;"&amp;0)+SUMIFS($I$2:OFFSET(tblTransactions[[#This Row],[Basis]],-1,0),$E$2:OFFSET(tblTransactions[[#This Row],[Asset]],-1,0),tblTransactions[[#This Row],[Asset]],$I$2:OFFSET(tblTransactions[[#This Row],[Basis]],-1,0),"&lt;"&amp;0),0)</f>
        <v>783.33</v>
      </c>
      <c r="O16" s="5">
        <f ca="1">MAX(SUMIFS($F$2:OFFSET(tblTransactions[[#This Row],[Quantity]],-1,0),$E$2:OFFSET(tblTransactions[[#This Row],[Asset]],-1,0),tblTransactions[[#This Row],[Asset]],$B$2:OFFSET(tblTransactions[[#This Row],[Date]],-1,0),"&lt;"&amp;tblTransactions[[#This Row],[Date]]-364,$F$2:OFFSET(tblTransactions[[#This Row],[Quantity]],-1,0),"&gt;"&amp;0)+SUMIFS($F$2:OFFSET(tblTransactions[[#This Row],[Quantity]],-1,0),$E$2:OFFSET(tblTransactions[[#This Row],[Asset]],-1,0),tblTransactions[[#This Row],[Asset]],$F$2:OFFSET(tblTransactions[[#This Row],[Quantity]],-1,0),"&lt;"&amp;0),0)</f>
        <v>1.5999999999999996</v>
      </c>
      <c r="P16" s="8">
        <f ca="1">tblTransactions[[#This Row],[Prior Basis]]-tblTransactions[[#This Row],[Prior LT Basis]]</f>
        <v>0</v>
      </c>
      <c r="Q16" s="5">
        <f ca="1">tblTransactions[[#This Row],[Prior Qty]]-tblTransactions[[#This Row],[Prior LT Qty]]</f>
        <v>0</v>
      </c>
      <c r="R16" s="5" t="str">
        <f>VLOOKUP(tblTransactions[[#This Row],[Type]],tblTransactionTypes[],3,FALSE)</f>
        <v>Nontaxable Income</v>
      </c>
      <c r="S16" s="8">
        <f>IF(tblTransactions[[#This Row],[Tax Treatment]]="Taxable Income",tblTransactions[[#This Row],[USD]],0)</f>
        <v>0</v>
      </c>
      <c r="T16" s="8">
        <f>IF(tblTransactions[[#This Row],[Tax Treatment]]="Nontaxable Income",tblTransactions[[#This Row],[USD]],0)</f>
        <v>21</v>
      </c>
      <c r="U16" s="8">
        <f>IF(tblTransactions[[#This Row],[Tax Treatment]]="Capital",IFERROR(MIN(tblTransactions[[#This Row],[Prior LT Qty]],-tblTransactions[[#This Row],[Quantity]])*tblTransactions[[#This Row],[USD / Share]]-(MIN(tblTransactions[[#This Row],[Prior LT Qty]],-tblTransactions[[#This Row],[Quantity]])*tblTransactions[[#This Row],[Prior LT Basis]]/tblTransactions[[#This Row],[Prior LT Qty]]),0),0)</f>
        <v>0</v>
      </c>
      <c r="V16" s="8">
        <f>IF(tblTransactions[[#This Row],[Tax Treatment]]="Capital",IFERROR(MIN(-tblTransactions[[#This Row],[Quantity]]-tblTransactions[[#This Row],[Prior LT Qty]],-tblTransactions[[#This Row],[Quantity]])*tblTransactions[[#This Row],[USD / Share]]-(MIN(-tblTransactions[[#This Row],[Quantity]]-tblTransactions[[#This Row],[Prior LT Qty]],-tblTransactions[[#This Row],[Quantity]])*tblTransactions[[#This Row],[Prior ST Basis]]/tblTransactions[[#This Row],[Prior ST Qty]]),0),0)</f>
        <v>0</v>
      </c>
    </row>
  </sheetData>
  <mergeCells count="1">
    <mergeCell ref="F1:G1"/>
  </mergeCells>
  <dataValidations count="1">
    <dataValidation type="list" allowBlank="1" showInputMessage="1" showErrorMessage="1" sqref="C3:C16" xr:uid="{00000000-0002-0000-0200-000000000000}">
      <formula1>lblTransactionTypes</formula1>
    </dataValidation>
  </dataValidations>
  <pageMargins left="0.7" right="0.7" top="0.75" bottom="0.75" header="0.3" footer="0.3"/>
  <pageSetup paperSize="133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0011C-0F1A-4493-8C3E-2B81A1671E55}">
  <sheetPr codeName="Sheet4"/>
  <dimension ref="B2:D9"/>
  <sheetViews>
    <sheetView workbookViewId="0">
      <selection activeCell="E24" sqref="E24"/>
    </sheetView>
  </sheetViews>
  <sheetFormatPr defaultRowHeight="15" x14ac:dyDescent="0.25"/>
  <cols>
    <col min="1" max="1" width="4.42578125" customWidth="1"/>
    <col min="2" max="2" width="8.5703125" bestFit="1" customWidth="1"/>
    <col min="3" max="3" width="12" bestFit="1" customWidth="1"/>
    <col min="4" max="4" width="19.85546875" bestFit="1" customWidth="1"/>
    <col min="5" max="5" width="24" bestFit="1" customWidth="1"/>
    <col min="6" max="6" width="31.28515625" bestFit="1" customWidth="1"/>
    <col min="7" max="7" width="12" bestFit="1" customWidth="1"/>
    <col min="8" max="8" width="8.5703125" bestFit="1" customWidth="1"/>
  </cols>
  <sheetData>
    <row r="2" spans="2:4" x14ac:dyDescent="0.25">
      <c r="D2" t="str">
        <f>"Last update: "&amp;TEXT(QUOTE_TIME,"m/d/yyyy h:mm:ss AM/PM")</f>
        <v>Last update: 8/22/2021 1:28:03 PM</v>
      </c>
    </row>
    <row r="3" spans="2:4" x14ac:dyDescent="0.25">
      <c r="D3" s="18">
        <f>MAX(tblQuotes[last_updated])</f>
        <v>44430.561145833337</v>
      </c>
    </row>
    <row r="5" spans="2:4" x14ac:dyDescent="0.25">
      <c r="B5" t="s">
        <v>39</v>
      </c>
      <c r="C5" t="s">
        <v>40</v>
      </c>
      <c r="D5" t="s">
        <v>45</v>
      </c>
    </row>
    <row r="6" spans="2:4" x14ac:dyDescent="0.25">
      <c r="B6" t="s">
        <v>13</v>
      </c>
      <c r="C6">
        <v>1.14224589928631</v>
      </c>
      <c r="D6" s="18">
        <v>44430.560601851852</v>
      </c>
    </row>
    <row r="7" spans="2:4" x14ac:dyDescent="0.25">
      <c r="B7" t="s">
        <v>2</v>
      </c>
      <c r="C7">
        <v>48631.315181913669</v>
      </c>
      <c r="D7" s="18">
        <v>44430.56113425926</v>
      </c>
    </row>
    <row r="8" spans="2:4" x14ac:dyDescent="0.25">
      <c r="B8" t="s">
        <v>4</v>
      </c>
      <c r="C8">
        <v>3180.7140114608969</v>
      </c>
      <c r="D8" s="18">
        <v>44430.56113425926</v>
      </c>
    </row>
    <row r="9" spans="2:4" x14ac:dyDescent="0.25">
      <c r="B9" t="s">
        <v>59</v>
      </c>
      <c r="C9">
        <v>1.2080002044931299</v>
      </c>
      <c r="D9" s="18">
        <v>44430.561145833337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RefreshTables">
                <anchor moveWithCells="1" sizeWithCells="1">
                  <from>
                    <xdr:col>1</xdr:col>
                    <xdr:colOff>28575</xdr:colOff>
                    <xdr:row>1</xdr:row>
                    <xdr:rowOff>28575</xdr:rowOff>
                  </from>
                  <to>
                    <xdr:col>2</xdr:col>
                    <xdr:colOff>657225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F11"/>
  <sheetViews>
    <sheetView tabSelected="1" workbookViewId="0">
      <selection activeCell="C15" sqref="C15"/>
    </sheetView>
  </sheetViews>
  <sheetFormatPr defaultRowHeight="15" x14ac:dyDescent="0.25"/>
  <cols>
    <col min="1" max="1" width="3.28515625" customWidth="1"/>
    <col min="2" max="2" width="18" customWidth="1"/>
    <col min="3" max="3" width="39.85546875" customWidth="1"/>
    <col min="4" max="4" width="41.28515625" bestFit="1" customWidth="1"/>
  </cols>
  <sheetData>
    <row r="2" spans="2:6" x14ac:dyDescent="0.25">
      <c r="B2" t="s">
        <v>36</v>
      </c>
      <c r="C2" s="20"/>
      <c r="D2" s="13" t="s">
        <v>41</v>
      </c>
      <c r="E2" s="13"/>
      <c r="F2" s="13"/>
    </row>
    <row r="3" spans="2:6" x14ac:dyDescent="0.25">
      <c r="B3" t="s">
        <v>38</v>
      </c>
      <c r="C3" t="str">
        <f>_xlfn.TEXTJOIN(",",TRUE,_xlfn.UNIQUE(tblTransactions[Asset]))</f>
        <v>BTC,ETH,XRP,ALGO</v>
      </c>
    </row>
    <row r="4" spans="2:6" x14ac:dyDescent="0.25">
      <c r="B4" t="s">
        <v>37</v>
      </c>
      <c r="C4" t="str">
        <f>"https://pro-api.coinmarketcap.com/v1/cryptocurrency/quotes/latest?CMC_PRO_API_KEY="&amp;API_KEY&amp;"&amp;symbol="&amp;TICKERS</f>
        <v>https://pro-api.coinmarketcap.com/v1/cryptocurrency/quotes/latest?CMC_PRO_API_KEY=&amp;symbol=BTC,ETH,XRP,ALGO</v>
      </c>
    </row>
    <row r="6" spans="2:6" x14ac:dyDescent="0.25">
      <c r="B6" t="s">
        <v>34</v>
      </c>
      <c r="C6" t="s">
        <v>46</v>
      </c>
      <c r="D6" t="s">
        <v>47</v>
      </c>
    </row>
    <row r="7" spans="2:6" x14ac:dyDescent="0.25">
      <c r="B7" t="s">
        <v>1</v>
      </c>
      <c r="D7" t="s">
        <v>51</v>
      </c>
    </row>
    <row r="8" spans="2:6" x14ac:dyDescent="0.25">
      <c r="B8" t="s">
        <v>15</v>
      </c>
      <c r="D8" t="s">
        <v>52</v>
      </c>
    </row>
    <row r="9" spans="2:6" x14ac:dyDescent="0.25">
      <c r="B9" t="s">
        <v>3</v>
      </c>
      <c r="C9" t="s">
        <v>50</v>
      </c>
      <c r="D9" t="s">
        <v>53</v>
      </c>
    </row>
    <row r="10" spans="2:6" x14ac:dyDescent="0.25">
      <c r="B10" t="s">
        <v>22</v>
      </c>
      <c r="C10" t="s">
        <v>49</v>
      </c>
      <c r="D10" t="s">
        <v>51</v>
      </c>
    </row>
    <row r="11" spans="2:6" x14ac:dyDescent="0.25">
      <c r="B11" t="s">
        <v>35</v>
      </c>
      <c r="C11" t="s">
        <v>48</v>
      </c>
      <c r="D11" t="s">
        <v>54</v>
      </c>
    </row>
  </sheetData>
  <dataValidations count="1">
    <dataValidation type="list" allowBlank="1" showInputMessage="1" showErrorMessage="1" sqref="D7:D11" xr:uid="{816F3169-EEAE-4BCD-8D83-F9608A3D328A}">
      <formula1>"N/A,Capital,Taxable Income,Nontaxable Income"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02A6C5-7CB1-4031-ACAC-05D055DCB9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Asset Summary</vt:lpstr>
      <vt:lpstr>Annual Tax Summary</vt:lpstr>
      <vt:lpstr>Transactions</vt:lpstr>
      <vt:lpstr>Quotes</vt:lpstr>
      <vt:lpstr>Config</vt:lpstr>
      <vt:lpstr>API_KEY</vt:lpstr>
      <vt:lpstr>API_URL</vt:lpstr>
      <vt:lpstr>lblTransactionTypes</vt:lpstr>
      <vt:lpstr>QUOTE_TIME</vt:lpstr>
      <vt:lpstr>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2021-08-22T17:29:02Z</dcterms:modified>
</cp:coreProperties>
</file>